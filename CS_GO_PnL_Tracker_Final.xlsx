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CSGO PnL 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$#,##0.00"/>
  </numFmts>
  <fonts count="25">
    <font>
      <name val="Calibri"/>
      <charset val="1"/>
      <family val="2"/>
      <color theme="1"/>
      <sz val="11"/>
    </font>
    <font>
      <name val="Arial"/>
      <charset val="1"/>
      <b val="1"/>
      <color rgb="FFFFD700"/>
      <sz val="11"/>
    </font>
    <font>
      <name val="Arial"/>
      <charset val="1"/>
      <b val="1"/>
      <color rgb="FFE94560"/>
      <sz val="11"/>
    </font>
    <font>
      <name val="Arial"/>
      <charset val="1"/>
      <i val="1"/>
      <color rgb="FFCCCCCC"/>
      <sz val="10"/>
    </font>
    <font>
      <name val="Arial"/>
      <charset val="1"/>
      <b val="1"/>
      <color rgb="FFFFFFFF"/>
      <sz val="10"/>
    </font>
    <font>
      <name val="Arial"/>
      <charset val="1"/>
      <color rgb="FFFFFFFF"/>
      <sz val="10"/>
    </font>
    <font>
      <name val="Arial"/>
      <charset val="1"/>
      <color rgb="FFCCCCCC"/>
      <sz val="10"/>
    </font>
    <font>
      <name val="Arial"/>
      <charset val="1"/>
      <color rgb="FFFFD700"/>
      <sz val="10"/>
    </font>
    <font>
      <name val="Arial"/>
      <charset val="1"/>
      <color rgb="FF00D4AA"/>
      <sz val="10"/>
    </font>
    <font>
      <name val="Arial"/>
      <charset val="1"/>
      <color rgb="FF4FC3F7"/>
      <sz val="9"/>
      <u val="single"/>
    </font>
    <font>
      <name val="Calibri"/>
      <charset val="1"/>
      <family val="2"/>
      <color theme="10"/>
      <sz val="11"/>
      <u val="single"/>
    </font>
    <font>
      <name val="Arial"/>
      <color rgb="FF00FF7F"/>
      <sz val="10"/>
    </font>
    <font>
      <name val="Arial"/>
      <color rgb="FF4FC3F7"/>
      <sz val="10"/>
    </font>
    <font>
      <name val="Arial"/>
      <charset val="1"/>
      <color rgb="FFFF6B6B"/>
      <sz val="10"/>
    </font>
    <font>
      <name val="Calibri"/>
      <charset val="1"/>
      <family val="2"/>
      <color rgb="FFFF6B6B"/>
      <sz val="11"/>
    </font>
    <font>
      <name val="Arial"/>
      <charset val="1"/>
      <b val="1"/>
      <color rgb="FFFF6B6B"/>
      <sz val="10"/>
    </font>
    <font>
      <name val="Calibri"/>
      <charset val="1"/>
      <family val="2"/>
      <color rgb="FFFFD700"/>
      <sz val="11"/>
    </font>
    <font>
      <name val="Arial"/>
      <family val="2"/>
      <color rgb="FFFFFFFF"/>
      <sz val="10"/>
    </font>
    <font>
      <name val="Calibri"/>
      <charset val="1"/>
      <family val="2"/>
      <color rgb="FF1A1A2E"/>
      <sz val="11"/>
    </font>
    <font>
      <name val="Arial"/>
      <color rgb="FF1A1A2E"/>
      <sz val="10"/>
    </font>
    <font>
      <name val="Calibri"/>
      <charset val="1"/>
      <family val="2"/>
      <color rgb="FFCCCCCC"/>
      <sz val="11"/>
    </font>
    <font>
      <name val="Arial"/>
      <color rgb="FF16213E"/>
      <sz val="10"/>
    </font>
    <font>
      <name val="Arial"/>
      <b val="1"/>
      <color rgb="FF16213E"/>
      <sz val="10"/>
    </font>
    <font>
      <name val="Calibri"/>
      <charset val="1"/>
      <family val="2"/>
      <color rgb="FF4FC3F7"/>
      <sz val="11"/>
    </font>
    <font>
      <name val="Arial"/>
      <family val="2"/>
      <color rgb="FF4FC3F7"/>
      <sz val="9"/>
      <u val="single"/>
    </font>
  </fonts>
  <fills count="9">
    <fill>
      <patternFill/>
    </fill>
    <fill>
      <patternFill patternType="gray125"/>
    </fill>
    <fill>
      <patternFill patternType="solid">
        <fgColor rgb="FF16213E"/>
        <bgColor rgb="FF1A1A2E"/>
      </patternFill>
    </fill>
    <fill>
      <patternFill patternType="solid">
        <fgColor rgb="FFE94560"/>
        <bgColor rgb="FF993366"/>
      </patternFill>
    </fill>
    <fill>
      <patternFill patternType="solid">
        <fgColor rgb="FF0F3460"/>
        <bgColor rgb="FF2A2A4A"/>
      </patternFill>
    </fill>
    <fill>
      <patternFill patternType="solid">
        <fgColor rgb="FF1A1A2E"/>
        <bgColor rgb="FF16213E"/>
      </patternFill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F3460"/>
        <bgColor indexed="64"/>
      </patternFill>
    </fill>
  </fills>
  <borders count="5">
    <border>
      <left/>
      <right/>
      <top/>
      <bottom/>
      <diagonal/>
    </border>
    <border>
      <left style="thin">
        <color rgb="FF2A2A4A"/>
      </left>
      <right style="thin">
        <color rgb="FF2A2A4A"/>
      </right>
      <top style="thin">
        <color rgb="FF2A2A4A"/>
      </top>
      <bottom style="thin">
        <color rgb="FF2A2A4A"/>
      </bottom>
      <diagonal/>
    </border>
    <border>
      <left style="thin">
        <color rgb="FF2A2A4A"/>
      </left>
      <right/>
      <top style="thin">
        <color rgb="FF2A2A4A"/>
      </top>
      <bottom style="thin">
        <color rgb="FF2A2A4A"/>
      </bottom>
      <diagonal/>
    </border>
    <border>
      <left style="thin">
        <color rgb="FF2A2A4A"/>
      </left>
      <right style="thin">
        <color rgb="FF2A2A4A"/>
      </right>
      <top style="thin">
        <color rgb="FF2A2A4A"/>
      </top>
      <bottom/>
      <diagonal/>
    </border>
    <border>
      <left style="thin">
        <color rgb="FF2A2A4A"/>
      </left>
      <right style="thin">
        <color rgb="FF2A2A4A"/>
      </right>
      <top/>
      <bottom style="thin">
        <color rgb="FF2A2A4A"/>
      </bottom>
      <diagonal/>
    </border>
  </borders>
  <cellStyleXfs count="2">
    <xf numFmtId="0" fontId="0" fillId="0" borderId="0"/>
    <xf numFmtId="0" fontId="1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5" fontId="7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5" fontId="7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10" fillId="5" borderId="1" applyAlignment="1" pivotButton="0" quotePrefix="0" xfId="1">
      <alignment vertical="center"/>
    </xf>
    <xf numFmtId="0" fontId="10" fillId="0" borderId="0" pivotButton="0" quotePrefix="0" xfId="1"/>
    <xf numFmtId="0" fontId="10" fillId="4" borderId="1" applyAlignment="1" pivotButton="0" quotePrefix="0" xfId="1">
      <alignment vertical="center"/>
    </xf>
    <xf numFmtId="165" fontId="11" fillId="4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165" fontId="13" fillId="5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165" fontId="14" fillId="5" borderId="1" applyAlignment="1" pivotButton="0" quotePrefix="0" xfId="0">
      <alignment horizontal="center" vertical="center"/>
    </xf>
    <xf numFmtId="0" fontId="14" fillId="2" borderId="0" pivotButton="0" quotePrefix="0" xfId="0"/>
    <xf numFmtId="165" fontId="15" fillId="2" borderId="1" applyAlignment="1" pivotButton="0" quotePrefix="0" xfId="0">
      <alignment horizontal="center" vertical="center"/>
    </xf>
    <xf numFmtId="164" fontId="15" fillId="2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7" fillId="5" borderId="1" applyAlignment="1" pivotButton="0" quotePrefix="0" xfId="0">
      <alignment vertical="center"/>
    </xf>
    <xf numFmtId="0" fontId="17" fillId="4" borderId="1" applyAlignment="1" pivotButton="0" quotePrefix="0" xfId="0">
      <alignment vertical="center"/>
    </xf>
    <xf numFmtId="4" fontId="14" fillId="4" borderId="1" applyAlignment="1" pivotButton="0" quotePrefix="0" xfId="0">
      <alignment horizontal="center" vertical="center"/>
    </xf>
    <xf numFmtId="4" fontId="16" fillId="4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center" vertical="center"/>
    </xf>
    <xf numFmtId="4" fontId="11" fillId="4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/>
    </xf>
    <xf numFmtId="4" fontId="14" fillId="5" borderId="1" applyAlignment="1" pivotButton="0" quotePrefix="0" xfId="0">
      <alignment horizontal="center" vertical="center"/>
    </xf>
    <xf numFmtId="4" fontId="16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center" vertical="center"/>
    </xf>
    <xf numFmtId="10" fontId="1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vertical="center"/>
    </xf>
    <xf numFmtId="0" fontId="0" fillId="0" borderId="0" pivotButton="0" quotePrefix="0" xfId="0"/>
    <xf numFmtId="0" fontId="6" fillId="5" borderId="0" applyAlignment="1" pivotButton="0" quotePrefix="0" xfId="0">
      <alignment vertical="center"/>
    </xf>
    <xf numFmtId="0" fontId="0" fillId="6" borderId="0" pivotButton="0" quotePrefix="0" xfId="0"/>
    <xf numFmtId="0" fontId="14" fillId="6" borderId="0" pivotButton="0" quotePrefix="0" xfId="0"/>
    <xf numFmtId="0" fontId="16" fillId="6" borderId="0" pivotButton="0" quotePrefix="0" xfId="0"/>
    <xf numFmtId="0" fontId="11" fillId="6" borderId="0" pivotButton="0" quotePrefix="0" xfId="0"/>
    <xf numFmtId="0" fontId="12" fillId="6" borderId="0" pivotButton="0" quotePrefix="0" xfId="0"/>
    <xf numFmtId="0" fontId="0" fillId="7" borderId="0" pivotButton="0" quotePrefix="0" xfId="0"/>
    <xf numFmtId="0" fontId="11" fillId="7" borderId="0" pivotButton="0" quotePrefix="0" xfId="0"/>
    <xf numFmtId="0" fontId="12" fillId="7" borderId="0" pivotButton="0" quotePrefix="0" xfId="0"/>
    <xf numFmtId="0" fontId="16" fillId="7" borderId="0" pivotButton="0" quotePrefix="0" xfId="0"/>
    <xf numFmtId="0" fontId="18" fillId="6" borderId="0" pivotButton="0" quotePrefix="0" xfId="0"/>
    <xf numFmtId="0" fontId="19" fillId="6" borderId="0" pivotButton="0" quotePrefix="0" xfId="0"/>
    <xf numFmtId="0" fontId="20" fillId="6" borderId="0" pivotButton="0" quotePrefix="0" xfId="0"/>
    <xf numFmtId="0" fontId="20" fillId="6" borderId="0" pivotButton="0" quotePrefix="0" xfId="0"/>
    <xf numFmtId="4" fontId="21" fillId="7" borderId="0" pivotButton="0" quotePrefix="0" xfId="0"/>
    <xf numFmtId="10" fontId="21" fillId="7" borderId="0" pivotButton="0" quotePrefix="0" xfId="0"/>
    <xf numFmtId="0" fontId="22" fillId="7" borderId="1" applyAlignment="1" pivotButton="0" quotePrefix="0" xfId="0">
      <alignment vertical="center"/>
    </xf>
    <xf numFmtId="0" fontId="23" fillId="7" borderId="0" pivotButton="0" quotePrefix="0" xfId="0"/>
    <xf numFmtId="0" fontId="24" fillId="6" borderId="1" applyAlignment="1" pivotButton="0" quotePrefix="0" xfId="0">
      <alignment vertical="center"/>
    </xf>
    <xf numFmtId="164" fontId="12" fillId="5" borderId="2" applyAlignment="1" pivotButton="0" quotePrefix="0" xfId="0">
      <alignment horizontal="center" vertical="center"/>
    </xf>
    <xf numFmtId="164" fontId="12" fillId="4" borderId="2" applyAlignment="1" pivotButton="0" quotePrefix="0" xfId="0">
      <alignment horizontal="center" vertical="center"/>
    </xf>
    <xf numFmtId="0" fontId="24" fillId="8" borderId="3" applyAlignment="1" pivotButton="0" quotePrefix="0" xfId="0">
      <alignment vertical="center"/>
    </xf>
    <xf numFmtId="0" fontId="24" fillId="6" borderId="2" pivotButton="0" quotePrefix="0" xfId="1"/>
    <xf numFmtId="0" fontId="24" fillId="8" borderId="2" pivotButton="0" quotePrefix="0" xfId="1"/>
    <xf numFmtId="0" fontId="24" fillId="5" borderId="4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A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FC3F7"/>
      <rgbColor rgb="FF99CC00"/>
      <rgbColor rgb="FFFFD700"/>
      <rgbColor rgb="FFFF9900"/>
      <rgbColor rgb="FFE94560"/>
      <rgbColor rgb="FF666699"/>
      <rgbColor rgb="FF969696"/>
      <rgbColor rgb="FF0F3460"/>
      <rgbColor rgb="FF339966"/>
      <rgbColor rgb="FF16213E"/>
      <rgbColor rgb="FF1A1A2E"/>
      <rgbColor rgb="FF993300"/>
      <rgbColor rgb="FF993366"/>
      <rgbColor rgb="FF333399"/>
      <rgbColor rgb="FF2A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Eric Song</author>
  </authors>
  <commentList>
    <comment ref="H146" authorId="0" shapeId="0">
      <text>
        <t>Eric Song:
Additional link:
https://csfloat.com/item/954547166276356125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float.com/item/956567270467962650" TargetMode="External" Id="rId1" /><Relationship Type="http://schemas.openxmlformats.org/officeDocument/2006/relationships/hyperlink" Target="https://csfloat.com/item/944922592052117660%20|%20https:/csfloat.com/item/954547166276356125%20|" TargetMode="External" Id="rId2" /><Relationship Type="http://schemas.openxmlformats.org/officeDocument/2006/relationships/hyperlink" Target="https://csfloat.com/item/955802046601235268" TargetMode="External" Id="rId3" /><Relationship Type="http://schemas.openxmlformats.org/officeDocument/2006/relationships/hyperlink" Target="https://csfloat.com/item/954546325343568104" TargetMode="External" Id="rId4" /><Relationship Type="http://schemas.openxmlformats.org/officeDocument/2006/relationships/hyperlink" Target="https://csfloat.com/item/956593208299751627" TargetMode="External" Id="rId5" /><Relationship Type="http://schemas.openxmlformats.org/officeDocument/2006/relationships/hyperlink" Target="https://csfloat.com/item/956684959337285240" TargetMode="External" Id="rId6" /><Relationship Type="http://schemas.openxmlformats.org/officeDocument/2006/relationships/hyperlink" Target="https://csfloat.com/item/956945003496737019" TargetMode="External" Id="rId7" /><Relationship Type="http://schemas.openxmlformats.org/officeDocument/2006/relationships/hyperlink" Target="https://csfloat.com/item/957031296893324684" TargetMode="External" Id="rId8" /><Relationship Type="http://schemas.openxmlformats.org/officeDocument/2006/relationships/hyperlink" Target="https://csfloat.com/item/957337972347374327" TargetMode="External" Id="rId9" /><Relationship Type="http://schemas.openxmlformats.org/officeDocument/2006/relationships/hyperlink" Target="https://csfloat.com/item/957362320961571582" TargetMode="External" Id="rId10" /><Relationship Type="http://schemas.openxmlformats.org/officeDocument/2006/relationships/hyperlink" Target="https://csfloat.com/item/957395899129136348" TargetMode="External" Id="rId11" /><Relationship Type="http://schemas.openxmlformats.org/officeDocument/2006/relationships/hyperlink" Target="https://csfloat.com/item/957412522934275253" TargetMode="External" Id="rId12" /><Relationship Type="http://schemas.openxmlformats.org/officeDocument/2006/relationships/hyperlink" Target="https://csfloat.com/item/957458412889833734" TargetMode="External" Id="rId13" /><Relationship Type="http://schemas.openxmlformats.org/officeDocument/2006/relationships/hyperlink" Target="https://csfloat.com/item/957655959067561518" TargetMode="External" Id="rId14" /><Relationship Type="http://schemas.openxmlformats.org/officeDocument/2006/relationships/hyperlink" Target="https://csfloat.com/item/957821121997177518" TargetMode="External" Id="rId15" /><Relationship Type="http://schemas.openxmlformats.org/officeDocument/2006/relationships/hyperlink" Target="https://csfloat.com/item/957988871260474075" TargetMode="External" Id="rId16" /><Relationship Type="http://schemas.openxmlformats.org/officeDocument/2006/relationships/hyperlink" Target="https://csfloat.com/item/958033797989927260" TargetMode="External" Id="rId17" /><Relationship Type="http://schemas.openxmlformats.org/officeDocument/2006/relationships/hyperlink" Target="https://csfloat.com/item/958410511551170988" TargetMode="External" Id="rId18" /><Relationship Type="http://schemas.openxmlformats.org/officeDocument/2006/relationships/hyperlink" Target="https://csfloat.com/item/958513248251021384" TargetMode="External" Id="rId19" /><Relationship Type="http://schemas.openxmlformats.org/officeDocument/2006/relationships/hyperlink" Target="https://csfloat.com/item/958790151134383599" TargetMode="External" Id="rId20" /><Relationship Type="http://schemas.openxmlformats.org/officeDocument/2006/relationships/hyperlink" Target="https://csfloat.com/item/958846548018594248" TargetMode="External" Id="rId21" /><Relationship Type="http://schemas.openxmlformats.org/officeDocument/2006/relationships/hyperlink" Target="https://csfloat.com/item/958891316132053496" TargetMode="External" Id="rId22" /><Relationship Type="http://schemas.openxmlformats.org/officeDocument/2006/relationships/hyperlink" Target="https://csfloat.com/item/938779518829727146,%20https:/csfloat.com/item/938779520515837381," TargetMode="External" Id="rId23" /><Relationship Type="http://schemas.openxmlformats.org/officeDocument/2006/relationships/hyperlink" Target="https://csfloat.com/item/946106389204438729" TargetMode="External" Id="rId24" /><Relationship Type="http://schemas.openxmlformats.org/officeDocument/2006/relationships/hyperlink" Target="https://csfloat.com/item/942380197964025124" TargetMode="External" Id="rId25" /><Relationship Type="http://schemas.openxmlformats.org/officeDocument/2006/relationships/hyperlink" Target="https://csfloat.com/item/959151321733268212" TargetMode="External" Id="rId26" /><Relationship Type="http://schemas.openxmlformats.org/officeDocument/2006/relationships/hyperlink" Target="https://csfloat.com/item/959179849707162087" TargetMode="External" Id="rId27" /><Relationship Type="http://schemas.openxmlformats.org/officeDocument/2006/relationships/hyperlink" Target="https://csfloat.com/item/959212933307567362" TargetMode="External" Id="rId28" /><Relationship Type="http://schemas.openxmlformats.org/officeDocument/2006/relationships/hyperlink" Target="https://csfloat.com/item/959213132943852856" TargetMode="External" Id="rId29" /><Relationship Type="http://schemas.openxmlformats.org/officeDocument/2006/relationships/hyperlink" Target="https://csfloat.com/item/959213322442509648" TargetMode="External" Id="rId30" /><Relationship Type="http://schemas.openxmlformats.org/officeDocument/2006/relationships/hyperlink" Target="https://csfloat.com/item/959213710012976039" TargetMode="External" Id="rId31" /><Relationship Type="http://schemas.openxmlformats.org/officeDocument/2006/relationships/hyperlink" Target="https://csfloat.com/item/959265050001018671" TargetMode="External" Id="rId32" /><Relationship Type="http://schemas.openxmlformats.org/officeDocument/2006/relationships/hyperlink" Target="https://csfloat.com/item/959584093111189799" TargetMode="External" Id="rId33" /><Relationship Type="http://schemas.openxmlformats.org/officeDocument/2006/relationships/hyperlink" Target="https://csfloat.com/item/959642734723993157" TargetMode="External" Id="rId34" /><Relationship Type="http://schemas.openxmlformats.org/officeDocument/2006/relationships/hyperlink" Target="https://csfloat.com/item/959643770805158677" TargetMode="External" Id="rId35" /><Relationship Type="http://schemas.openxmlformats.org/officeDocument/2006/relationships/hyperlink" Target="https://csfloat.com/item/959874117442602443" TargetMode="External" Id="rId36" /><Relationship Type="http://schemas.openxmlformats.org/officeDocument/2006/relationships/hyperlink" Target="https://csfloat.com/item/959965942731902672" TargetMode="External" Id="rId37" /><Relationship Type="http://schemas.openxmlformats.org/officeDocument/2006/relationships/hyperlink" Target="https://csfloat.com/item/959982098876335272" TargetMode="External" Id="rId38" /><Relationship Type="http://schemas.openxmlformats.org/officeDocument/2006/relationships/hyperlink" Target="https://csfloat.com/item/960036106232008005" TargetMode="External" Id="rId39" /><Relationship Type="http://schemas.openxmlformats.org/officeDocument/2006/relationships/hyperlink" Target="https://csfloat.com/item/959970442528031853,%20https:/csfloat.com/item/946110998966832483" TargetMode="External" Id="rId40" /><Relationship Type="http://schemas.openxmlformats.org/officeDocument/2006/relationships/hyperlink" Target="https://csfloat.com/item/960375281502261138" TargetMode="External" Id="rId41" /><Relationship Type="http://schemas.openxmlformats.org/officeDocument/2006/relationships/hyperlink" Target="https://csfloat.com/item/960461212737473793" TargetMode="External" Id="rId42" /><Relationship Type="http://schemas.openxmlformats.org/officeDocument/2006/relationships/hyperlink" Target="https://csfloat.com/item/960862502537793053" TargetMode="External" Id="rId43" /><Relationship Type="http://schemas.openxmlformats.org/officeDocument/2006/relationships/hyperlink" Target="https://csfloat.com/item/960613026904539349" TargetMode="External" Id="rId44" /><Relationship Type="http://schemas.openxmlformats.org/officeDocument/2006/relationships/hyperlink" Target="https://csfloat.com/item/960731975050725575" TargetMode="External" Id="rId45" /><Relationship Type="http://schemas.openxmlformats.org/officeDocument/2006/relationships/hyperlink" Target="https://csfloat.com/item/946106389858750158,%20https:/csfloat.com/item/947801618236181684" TargetMode="External" Id="rId46" /><Relationship Type="http://schemas.openxmlformats.org/officeDocument/2006/relationships/hyperlink" Target="https://csfloat.com/item/948911799212838069" TargetMode="External" Id="rId47" /><Relationship Type="http://schemas.openxmlformats.org/officeDocument/2006/relationships/hyperlink" Target="https://csfloat.com/item/951450005997227289" TargetMode="External" Id="rId48" /><Relationship Type="http://schemas.openxmlformats.org/officeDocument/2006/relationships/hyperlink" Target="https://csfloat.com/item/955066633146208125" TargetMode="External" Id="rId49" /><Relationship Type="http://schemas.openxmlformats.org/officeDocument/2006/relationships/hyperlink" Target="https://csfloat.com/item/942959435742054935" TargetMode="External" Id="rId50" /><Relationship Type="http://schemas.openxmlformats.org/officeDocument/2006/relationships/hyperlink" Target="https://csfloat.com/item/954546326824157435" TargetMode="External" Id="rId51" /><Relationship Type="http://schemas.openxmlformats.org/officeDocument/2006/relationships/hyperlink" Target="https://csfloat.com/item/954881384474870444" TargetMode="External" Id="rId52" /><Relationship Type="http://schemas.openxmlformats.org/officeDocument/2006/relationships/hyperlink" Target="https://csfloat.com/item/961365813804270647" TargetMode="External" Id="rId53" /><Relationship Type="http://schemas.openxmlformats.org/officeDocument/2006/relationships/hyperlink" Target="https://csfloat.com/item/961503845022830574" TargetMode="External" Id="rId54" /><Relationship Type="http://schemas.openxmlformats.org/officeDocument/2006/relationships/hyperlink" Target="https://csfloat.com/item/961580822488548075" TargetMode="External" Id="rId55" /><Relationship Type="http://schemas.openxmlformats.org/officeDocument/2006/relationships/hyperlink" Target="https://csfloat.com/item/961626373775033887" TargetMode="External" Id="rId56" /><Relationship Type="http://schemas.openxmlformats.org/officeDocument/2006/relationships/hyperlink" Target="https://csfloat.com/item/961652134871437063" TargetMode="External" Id="rId57" /><Relationship Type="http://schemas.openxmlformats.org/officeDocument/2006/relationships/hyperlink" Target="https://csfloat.com/item/961958831401862559" TargetMode="External" Id="rId58" /><Relationship Type="http://schemas.openxmlformats.org/officeDocument/2006/relationships/hyperlink" Target="https://csfloat.com/item/961968839082512054" TargetMode="External" Id="rId59" /><Relationship Type="http://schemas.openxmlformats.org/officeDocument/2006/relationships/hyperlink" Target="https://csfloat.com/item/962410023550583376" TargetMode="External" Id="rId60" /><Relationship Type="http://schemas.openxmlformats.org/officeDocument/2006/relationships/hyperlink" Target="https://csfloat.com/item/962438688053267379" TargetMode="External" Id="rId61" /><Relationship Type="http://schemas.openxmlformats.org/officeDocument/2006/relationships/hyperlink" Target="https://csfloat.com/item/962300317385492169" TargetMode="External" Id="rId62" /><Relationship Type="http://schemas.openxmlformats.org/officeDocument/2006/relationships/hyperlink" Target="https://csfloat.com/item/962663033027560205" TargetMode="External" Id="rId63" /><Relationship Type="http://schemas.openxmlformats.org/officeDocument/2006/relationships/hyperlink" Target="https://csfloat.com/item/963046702703578929" TargetMode="External" Id="rId64" /><Relationship Type="http://schemas.openxmlformats.org/officeDocument/2006/relationships/hyperlink" Target="https://csfloat.com/item/962711846069077559" TargetMode="External" Id="rId65" /><Relationship Type="http://schemas.openxmlformats.org/officeDocument/2006/relationships/hyperlink" Target="https://csfloat.com/item/961574156326014238" TargetMode="External" Id="rId66" /><Relationship Type="http://schemas.openxmlformats.org/officeDocument/2006/relationships/hyperlink" Target="https://csfloat.com/item/962712874139124199" TargetMode="External" Id="rId67" /><Relationship Type="http://schemas.openxmlformats.org/officeDocument/2006/relationships/hyperlink" Target="https://csfloat.com/item/963060015869067519" TargetMode="External" Id="rId68" /><Relationship Type="http://schemas.openxmlformats.org/officeDocument/2006/relationships/hyperlink" Target="https://csfloat.com/item/963089295399324293" TargetMode="External" Id="rId69" /><Relationship Type="http://schemas.openxmlformats.org/officeDocument/2006/relationships/hyperlink" Target="https://csfloat.com/item/963390180134358800" TargetMode="External" Id="rId70" /><Relationship Type="http://schemas.openxmlformats.org/officeDocument/2006/relationships/hyperlink" Target="https://csfloat.com/item/963404806863588114" TargetMode="External" Id="rId71" /><Relationship Type="http://schemas.openxmlformats.org/officeDocument/2006/relationships/hyperlink" Target="https://csfloat.com/item/963720367988409030" TargetMode="External" Id="rId72" /><Relationship Type="http://schemas.openxmlformats.org/officeDocument/2006/relationships/hyperlink" Target="https://csfloat.com/item/963858679130623075" TargetMode="External" Id="rId73" /><Relationship Type="http://schemas.openxmlformats.org/officeDocument/2006/relationships/hyperlink" Target="https://csfloat.com/item/964099031791961772" TargetMode="External" Id="rId74" /><Relationship Type="http://schemas.openxmlformats.org/officeDocument/2006/relationships/hyperlink" Target="https://csfloat.com/item/964524834472201413" TargetMode="External" Id="rId75" /><Relationship Type="http://schemas.openxmlformats.org/officeDocument/2006/relationships/hyperlink" Target="https://csfloat.com/item/961001226261105988" TargetMode="External" Id="rId76" /><Relationship Type="http://schemas.openxmlformats.org/officeDocument/2006/relationships/hyperlink" Target="https://csfloat.com/item/964914407253607817" TargetMode="External" Id="rId77" /><Relationship Type="http://schemas.openxmlformats.org/officeDocument/2006/relationships/hyperlink" Target="https://csfloat.com/item/965007350320728889" TargetMode="External" Id="rId78" /><Relationship Type="http://schemas.openxmlformats.org/officeDocument/2006/relationships/hyperlink" Target="https://csfloat.com/item/965569327971568522" TargetMode="External" Id="rId79" /><Relationship Type="http://schemas.openxmlformats.org/officeDocument/2006/relationships/hyperlink" Target="https://csfloat.com/item/965220218630702759" TargetMode="External" Id="rId80" /><Relationship Type="http://schemas.openxmlformats.org/officeDocument/2006/relationships/hyperlink" Target="https://csfloat.com/item/965237120019073325" TargetMode="External" Id="rId81" /><Relationship Type="http://schemas.openxmlformats.org/officeDocument/2006/relationships/hyperlink" Target="https://csfloat.com/item/965308030273061280" TargetMode="External" Id="rId82" /><Relationship Type="http://schemas.openxmlformats.org/officeDocument/2006/relationships/hyperlink" Target="https://csfloat.com/item/965353105216638610" TargetMode="External" Id="rId83" /><Relationship Type="http://schemas.openxmlformats.org/officeDocument/2006/relationships/hyperlink" Target="https://csfloat.com/item/965614203257884205" TargetMode="External" Id="rId84" /><Relationship Type="http://schemas.openxmlformats.org/officeDocument/2006/relationships/hyperlink" Target="https://csfloat.com/item/965637419103814386" TargetMode="External" Id="rId85" /><Relationship Type="http://schemas.openxmlformats.org/officeDocument/2006/relationships/hyperlink" Target="https://csfloat.com/item/965685508523034467" TargetMode="External" Id="rId86" /><Relationship Type="http://schemas.openxmlformats.org/officeDocument/2006/relationships/hyperlink" Target="https://csfloat.com/item/965685709639910362" TargetMode="External" Id="rId87" /><Relationship Type="http://schemas.openxmlformats.org/officeDocument/2006/relationships/hyperlink" Target="https://csfloat.com/item/965991154627774869" TargetMode="External" Id="rId88" /><Relationship Type="http://schemas.openxmlformats.org/officeDocument/2006/relationships/hyperlink" Target="https://csfloat.com/item/966063695807514346" TargetMode="External" Id="rId89" /><Relationship Type="http://schemas.openxmlformats.org/officeDocument/2006/relationships/hyperlink" Target="https://csfloat.com/item/966090617539137273" TargetMode="External" Id="rId90" /><Relationship Type="http://schemas.openxmlformats.org/officeDocument/2006/relationships/hyperlink" Target="https://csfloat.com/item/966201021326033722" TargetMode="External" Id="rId91" /><Relationship Type="http://schemas.openxmlformats.org/officeDocument/2006/relationships/hyperlink" Target="https://csfloat.com/item/966307563404659890" TargetMode="External" Id="rId92" /><Relationship Type="http://schemas.openxmlformats.org/officeDocument/2006/relationships/hyperlink" Target="https://csfloat.com/item/966351602644552156" TargetMode="External" Id="rId93" /><Relationship Type="http://schemas.openxmlformats.org/officeDocument/2006/relationships/hyperlink" Target="https://csfloat.com/item/966395755172596994" TargetMode="External" Id="rId94" /><Relationship Type="http://schemas.openxmlformats.org/officeDocument/2006/relationships/hyperlink" Target="https://csfloat.com/item/966439444192298041" TargetMode="External" Id="rId95" /><Relationship Type="http://schemas.openxmlformats.org/officeDocument/2006/relationships/hyperlink" Target="https://csfloat.com/item/970353608669400514" TargetMode="External" Id="rId96" /><Relationship Type="http://schemas.openxmlformats.org/officeDocument/2006/relationships/hyperlink" Target="https://csfloat.com/item/970151789611582031" TargetMode="External" Id="rId97" /><Relationship Type="http://schemas.openxmlformats.org/officeDocument/2006/relationships/hyperlink" Target="https://csfloat.com/item/970294094020612086" TargetMode="External" Id="rId98" /><Relationship Type="http://schemas.openxmlformats.org/officeDocument/2006/relationships/hyperlink" Target="https://csfloat.com/item/970336958834411583" TargetMode="External" Id="rId9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E94560"/>
    <outlinePr summaryBelow="1" summaryRight="1"/>
    <pageSetUpPr/>
  </sheetPr>
  <dimension ref="A1:AJ1163"/>
  <sheetViews>
    <sheetView tabSelected="1" zoomScaleNormal="100" workbookViewId="0">
      <pane ySplit="2" topLeftCell="A255" activePane="bottomLeft" state="frozen"/>
      <selection pane="bottomLeft" activeCell="B260" sqref="B260"/>
    </sheetView>
  </sheetViews>
  <sheetFormatPr baseColWidth="8" defaultColWidth="8.6640625" defaultRowHeight="14.4"/>
  <cols>
    <col width="38" customWidth="1" style="49" min="1" max="1"/>
    <col width="14" customWidth="1" style="49" min="2" max="2"/>
    <col width="16" customWidth="1" style="49" min="3" max="5"/>
    <col width="14" customWidth="1" style="49" min="6" max="6"/>
    <col width="10" customWidth="1" style="49" min="7" max="7"/>
    <col width="55" customWidth="1" style="49" min="8" max="8"/>
  </cols>
  <sheetData>
    <row r="1" ht="27.75" customHeight="1" s="49">
      <c r="A1" s="1" t="inlineStr">
        <is>
          <t>FEE RATE</t>
        </is>
      </c>
      <c r="B1" s="2" t="n">
        <v>0.02</v>
      </c>
      <c r="C1" s="3" t="inlineStr">
        <is>
          <t>← Change fee rate here</t>
        </is>
      </c>
      <c r="D1" s="4" t="n"/>
      <c r="E1" s="4" t="n"/>
      <c r="F1" s="4" t="n"/>
      <c r="G1" s="4" t="n"/>
      <c r="H1" s="4" t="n"/>
    </row>
    <row r="2" ht="30" customHeight="1" s="49">
      <c r="A2" s="5" t="inlineStr">
        <is>
          <t>Item Name</t>
        </is>
      </c>
      <c r="B2" s="5" t="inlineStr">
        <is>
          <t>Cost (USD)</t>
        </is>
      </c>
      <c r="C2" s="5" t="inlineStr">
        <is>
          <t>Sold Price (USD)</t>
        </is>
      </c>
      <c r="D2" s="5" t="inlineStr">
        <is>
          <t>Fee Amount (USD)</t>
        </is>
      </c>
      <c r="E2" s="5" t="inlineStr">
        <is>
          <t>Net Sold (USD)</t>
        </is>
      </c>
      <c r="F2" s="5" t="inlineStr">
        <is>
          <t>Profit (USD)</t>
        </is>
      </c>
      <c r="G2" s="5" t="inlineStr">
        <is>
          <t>ROI %</t>
        </is>
      </c>
      <c r="H2" s="5" t="inlineStr">
        <is>
          <t>Link</t>
        </is>
      </c>
    </row>
    <row r="3" ht="19.5" customHeight="1" s="49">
      <c r="A3" s="6" t="inlineStr">
        <is>
          <t>MP9 | Storm</t>
        </is>
      </c>
      <c r="B3" s="22" t="n">
        <v>0.26</v>
      </c>
      <c r="C3" s="7" t="n">
        <v>2.29</v>
      </c>
      <c r="D3" s="7">
        <f>C3*$B$1</f>
        <v/>
      </c>
      <c r="E3" s="8">
        <f>C3-D3</f>
        <v/>
      </c>
      <c r="F3" s="18">
        <f>E3-B3</f>
        <v/>
      </c>
      <c r="G3" s="20">
        <f>IF(B3=0,"",F3/B3)</f>
        <v/>
      </c>
      <c r="H3" s="9" t="inlineStr">
        <is>
          <t>https://csfloat.com/item/930206227978390180</t>
        </is>
      </c>
    </row>
    <row r="4" ht="19.5" customHeight="1" s="49">
      <c r="A4" s="10" t="inlineStr">
        <is>
          <t>P2000 | Grassland</t>
        </is>
      </c>
      <c r="B4" s="23" t="n">
        <v>0.22</v>
      </c>
      <c r="C4" s="11" t="n">
        <v>0.8</v>
      </c>
      <c r="D4" s="11">
        <f>C4*$B$1</f>
        <v/>
      </c>
      <c r="E4" s="12">
        <f>C4-D4</f>
        <v/>
      </c>
      <c r="F4" s="19">
        <f>E4-B4</f>
        <v/>
      </c>
      <c r="G4" s="21">
        <f>IF(B4=0,"",F4/B4)</f>
        <v/>
      </c>
      <c r="H4" s="13" t="inlineStr">
        <is>
          <t>https://csfloat.com/item/932981064786379122</t>
        </is>
      </c>
    </row>
    <row r="5" ht="19.5" customHeight="1" s="49">
      <c r="A5" s="6" t="inlineStr">
        <is>
          <t>Nova | Polar Mesh</t>
        </is>
      </c>
      <c r="B5" s="22" t="n">
        <v>0.17</v>
      </c>
      <c r="C5" s="7" t="n">
        <v>0.64</v>
      </c>
      <c r="D5" s="7">
        <f>C5*$B$1</f>
        <v/>
      </c>
      <c r="E5" s="8">
        <f>C5-D5</f>
        <v/>
      </c>
      <c r="F5" s="18">
        <f>E5-B5</f>
        <v/>
      </c>
      <c r="G5" s="20">
        <f>IF(B5=0,"",F5/B5)</f>
        <v/>
      </c>
      <c r="H5" s="9" t="inlineStr">
        <is>
          <t>https://csfloat.com/item/933101013471201009</t>
        </is>
      </c>
    </row>
    <row r="6" ht="19.5" customHeight="1" s="49">
      <c r="A6" s="10" t="inlineStr">
        <is>
          <t>Nova | Walnut</t>
        </is>
      </c>
      <c r="B6" s="23" t="n">
        <v>5</v>
      </c>
      <c r="C6" s="11" t="n">
        <v>8.08</v>
      </c>
      <c r="D6" s="11">
        <f>C6*$B$1</f>
        <v/>
      </c>
      <c r="E6" s="12">
        <f>C6-D6</f>
        <v/>
      </c>
      <c r="F6" s="19">
        <f>E6-B6</f>
        <v/>
      </c>
      <c r="G6" s="21">
        <f>IF(B6=0,"",F6/B6)</f>
        <v/>
      </c>
      <c r="H6" s="13" t="inlineStr">
        <is>
          <t>https://csfloat.com/item/933300772848927240</t>
        </is>
      </c>
    </row>
    <row r="7" ht="19.5" customHeight="1" s="49">
      <c r="A7" s="6" t="inlineStr">
        <is>
          <t>P250 | Sand Dune</t>
        </is>
      </c>
      <c r="B7" s="22" t="n">
        <v>0.6899999999999999</v>
      </c>
      <c r="C7" s="7" t="n">
        <v>1.33</v>
      </c>
      <c r="D7" s="7">
        <f>C7*$B$1</f>
        <v/>
      </c>
      <c r="E7" s="8">
        <f>C7-D7</f>
        <v/>
      </c>
      <c r="F7" s="18">
        <f>E7-B7</f>
        <v/>
      </c>
      <c r="G7" s="20">
        <f>IF(B7=0,"",F7/B7)</f>
        <v/>
      </c>
      <c r="H7" s="9" t="inlineStr">
        <is>
          <t>https://csfloat.com/item/933311033232198535</t>
        </is>
      </c>
    </row>
    <row r="8" ht="19.5" customHeight="1" s="49">
      <c r="A8" s="10" t="inlineStr">
        <is>
          <t>M249 | Contrast Spray</t>
        </is>
      </c>
      <c r="B8" s="23" t="n">
        <v>0.09</v>
      </c>
      <c r="C8" s="11" t="n">
        <v>0.55</v>
      </c>
      <c r="D8" s="11">
        <f>C8*$B$1</f>
        <v/>
      </c>
      <c r="E8" s="12">
        <f>C8-D8</f>
        <v/>
      </c>
      <c r="F8" s="19">
        <f>E8-B8</f>
        <v/>
      </c>
      <c r="G8" s="21">
        <f>IF(B8=0,"",F8/B8)</f>
        <v/>
      </c>
      <c r="H8" s="13" t="inlineStr">
        <is>
          <t>https://csfloat.com/item/933926567795622430</t>
        </is>
      </c>
    </row>
    <row r="9" ht="19.5" customHeight="1" s="49">
      <c r="A9" s="6" t="inlineStr">
        <is>
          <t>UMP-45 | Scorched</t>
        </is>
      </c>
      <c r="B9" s="22" t="n">
        <v>0.39</v>
      </c>
      <c r="C9" s="7" t="n">
        <v>0.51</v>
      </c>
      <c r="D9" s="7">
        <f>C9*$B$1</f>
        <v/>
      </c>
      <c r="E9" s="8">
        <f>C9-D9</f>
        <v/>
      </c>
      <c r="F9" s="18">
        <f>E9-B9</f>
        <v/>
      </c>
      <c r="G9" s="20">
        <f>IF(B9=0,"",F9/B9)</f>
        <v/>
      </c>
      <c r="H9" s="9" t="inlineStr">
        <is>
          <t>https://csfloat.com/item/934050859317330631</t>
        </is>
      </c>
    </row>
    <row r="10" ht="19.5" customHeight="1" s="49">
      <c r="A10" s="10" t="inlineStr">
        <is>
          <t>Sawed-Off | Irradiated Alert</t>
        </is>
      </c>
      <c r="B10" s="23" t="n">
        <v>7.35</v>
      </c>
      <c r="C10" s="11" t="n">
        <v>11.85</v>
      </c>
      <c r="D10" s="11">
        <f>C10*$B$1</f>
        <v/>
      </c>
      <c r="E10" s="12">
        <f>C10-D10</f>
        <v/>
      </c>
      <c r="F10" s="19">
        <f>E10-B10</f>
        <v/>
      </c>
      <c r="G10" s="21">
        <f>IF(B10=0,"",F10/B10)</f>
        <v/>
      </c>
      <c r="H10" s="13" t="inlineStr">
        <is>
          <t>https://csfloat.com/item/934828155674430243</t>
        </is>
      </c>
    </row>
    <row r="11" ht="19.5" customHeight="1" s="49">
      <c r="A11" s="6" t="inlineStr">
        <is>
          <t>P90 | Sand Spray</t>
        </is>
      </c>
      <c r="B11" s="22" t="n">
        <v>0.08</v>
      </c>
      <c r="C11" s="7" t="n">
        <v>1.7</v>
      </c>
      <c r="D11" s="7">
        <f>C11*$B$1</f>
        <v/>
      </c>
      <c r="E11" s="8">
        <f>C11-D11</f>
        <v/>
      </c>
      <c r="F11" s="18">
        <f>E11-B11</f>
        <v/>
      </c>
      <c r="G11" s="20">
        <f>IF(B11=0,"",F11/B11)</f>
        <v/>
      </c>
      <c r="H11" s="9" t="inlineStr">
        <is>
          <t>https://csfloat.com/item/934829983212372608</t>
        </is>
      </c>
    </row>
    <row r="12" ht="19.5" customHeight="1" s="49">
      <c r="A12" s="10" t="inlineStr">
        <is>
          <t>G3SG1 | Polar Camo</t>
        </is>
      </c>
      <c r="B12" s="23" t="n">
        <v>0.22</v>
      </c>
      <c r="C12" s="11" t="n">
        <v>0.6</v>
      </c>
      <c r="D12" s="11">
        <f>C12*$B$1</f>
        <v/>
      </c>
      <c r="E12" s="12">
        <f>C12-D12</f>
        <v/>
      </c>
      <c r="F12" s="19">
        <f>E12-B12</f>
        <v/>
      </c>
      <c r="G12" s="21">
        <f>IF(B12=0,"",F12/B12)</f>
        <v/>
      </c>
      <c r="H12" s="13" t="inlineStr">
        <is>
          <t>https://csfloat.com/item/934829846549366170</t>
        </is>
      </c>
    </row>
    <row r="13" ht="19.5" customHeight="1" s="49">
      <c r="A13" s="6" t="inlineStr">
        <is>
          <t>P250 | Sand Dune</t>
        </is>
      </c>
      <c r="B13" s="22" t="n">
        <v>1</v>
      </c>
      <c r="C13" s="7" t="n">
        <v>4.69</v>
      </c>
      <c r="D13" s="7">
        <f>C13*$B$1</f>
        <v/>
      </c>
      <c r="E13" s="8">
        <f>C13-D13</f>
        <v/>
      </c>
      <c r="F13" s="18">
        <f>E13-B13</f>
        <v/>
      </c>
      <c r="G13" s="20">
        <f>IF(B13=0,"",F13/B13)</f>
        <v/>
      </c>
      <c r="H13" s="9" t="inlineStr">
        <is>
          <t>https://csfloat.com/item/934829846549366170</t>
        </is>
      </c>
    </row>
    <row r="14" ht="19.5" customHeight="1" s="49">
      <c r="A14" s="10" t="inlineStr">
        <is>
          <t>UMP-45 | Urban DDPAT</t>
        </is>
      </c>
      <c r="B14" s="23" t="n">
        <v>0.23</v>
      </c>
      <c r="C14" s="11" t="n">
        <v>0.3</v>
      </c>
      <c r="D14" s="11">
        <f>C14*$B$1</f>
        <v/>
      </c>
      <c r="E14" s="12">
        <f>C14-D14</f>
        <v/>
      </c>
      <c r="F14" s="19">
        <f>E14-B14</f>
        <v/>
      </c>
      <c r="G14" s="21">
        <f>IF(B14=0,"",F14/B14)</f>
        <v/>
      </c>
      <c r="H14" s="13" t="inlineStr">
        <is>
          <t>https://csfloat.com/item/934435233565114657</t>
        </is>
      </c>
    </row>
    <row r="15" ht="19.5" customHeight="1" s="49">
      <c r="A15" s="6" t="inlineStr">
        <is>
          <t>MAG-7 | Sand Dune</t>
        </is>
      </c>
      <c r="B15" s="22" t="n">
        <v>0.22</v>
      </c>
      <c r="C15" s="7" t="n">
        <v>1.5</v>
      </c>
      <c r="D15" s="7">
        <f>C15*$B$1</f>
        <v/>
      </c>
      <c r="E15" s="8">
        <f>C15-D15</f>
        <v/>
      </c>
      <c r="F15" s="18">
        <f>E15-B15</f>
        <v/>
      </c>
      <c r="G15" s="20">
        <f>IF(B15=0,"",F15/B15)</f>
        <v/>
      </c>
      <c r="H15" s="9" t="inlineStr">
        <is>
          <t>https://csfloat.com/item/934827439366999962</t>
        </is>
      </c>
    </row>
    <row r="16" ht="19.5" customHeight="1" s="49">
      <c r="A16" s="10" t="inlineStr">
        <is>
          <t>SG 553 | Gator Mesh</t>
        </is>
      </c>
      <c r="B16" s="23" t="n">
        <v>1.6</v>
      </c>
      <c r="C16" s="11" t="n">
        <v>5</v>
      </c>
      <c r="D16" s="11">
        <f>C16*$B$1</f>
        <v/>
      </c>
      <c r="E16" s="12">
        <f>C16-D16</f>
        <v/>
      </c>
      <c r="F16" s="19">
        <f>E16-B16</f>
        <v/>
      </c>
      <c r="G16" s="21">
        <f>IF(B16=0,"",F16/B16)</f>
        <v/>
      </c>
      <c r="H16" s="13" t="inlineStr">
        <is>
          <t>https://csfloat.com/item/935170135981951645</t>
        </is>
      </c>
    </row>
    <row r="17" ht="19.5" customHeight="1" s="49">
      <c r="A17" s="6" t="inlineStr">
        <is>
          <t>P90 | Fallout Warning</t>
        </is>
      </c>
      <c r="B17" s="22" t="n">
        <v>5.51</v>
      </c>
      <c r="C17" s="7" t="n">
        <v>33</v>
      </c>
      <c r="D17" s="7">
        <f>C17*$B$1</f>
        <v/>
      </c>
      <c r="E17" s="8">
        <f>C17-D17</f>
        <v/>
      </c>
      <c r="F17" s="18">
        <f>E17-B17</f>
        <v/>
      </c>
      <c r="G17" s="20">
        <f>IF(B17=0,"",F17/B17)</f>
        <v/>
      </c>
      <c r="H17" s="9" t="inlineStr">
        <is>
          <t>https://csfloat.com/item/936213068201985796</t>
        </is>
      </c>
    </row>
    <row r="18" ht="19.5" customHeight="1" s="49">
      <c r="A18" s="10" t="inlineStr">
        <is>
          <t>Sawed-Off | Irradiated Alert</t>
        </is>
      </c>
      <c r="B18" s="23" t="n">
        <v>2.51</v>
      </c>
      <c r="C18" s="11" t="n">
        <v>3.72</v>
      </c>
      <c r="D18" s="11">
        <f>C18*$B$1</f>
        <v/>
      </c>
      <c r="E18" s="12">
        <f>C18-D18</f>
        <v/>
      </c>
      <c r="F18" s="19">
        <f>E18-B18</f>
        <v/>
      </c>
      <c r="G18" s="21">
        <f>IF(B18=0,"",F18/B18)</f>
        <v/>
      </c>
      <c r="H18" s="13" t="inlineStr">
        <is>
          <t>https://csfloat.com/item/936591251581570329</t>
        </is>
      </c>
    </row>
    <row r="19" ht="19.5" customHeight="1" s="49">
      <c r="A19" s="6" t="inlineStr">
        <is>
          <t>Dual Berettas | Briar</t>
        </is>
      </c>
      <c r="B19" s="22" t="n">
        <v>1.54</v>
      </c>
      <c r="C19" s="7" t="n">
        <v>14.75</v>
      </c>
      <c r="D19" s="7">
        <f>C19*$B$1</f>
        <v/>
      </c>
      <c r="E19" s="8">
        <f>C19-D19</f>
        <v/>
      </c>
      <c r="F19" s="18">
        <f>E19-B19</f>
        <v/>
      </c>
      <c r="G19" s="20">
        <f>IF(B19=0,"",F19/B19)</f>
        <v/>
      </c>
      <c r="H19" s="9" t="inlineStr">
        <is>
          <t>https://csfloat.com/item/936591952420406631</t>
        </is>
      </c>
    </row>
    <row r="20" ht="19.5" customHeight="1" s="49">
      <c r="A20" s="10" t="inlineStr">
        <is>
          <t>Nova | Polar Mesh</t>
        </is>
      </c>
      <c r="B20" s="23" t="n">
        <v>0.32</v>
      </c>
      <c r="C20" s="11" t="n">
        <v>0.75</v>
      </c>
      <c r="D20" s="11">
        <f>C20*$B$1</f>
        <v/>
      </c>
      <c r="E20" s="12">
        <f>C20-D20</f>
        <v/>
      </c>
      <c r="F20" s="19">
        <f>E20-B20</f>
        <v/>
      </c>
      <c r="G20" s="21">
        <f>IF(B20=0,"",F20/B20)</f>
        <v/>
      </c>
      <c r="H20" s="13" t="inlineStr">
        <is>
          <t>https://csfloat.com/item/934829155592310593</t>
        </is>
      </c>
    </row>
    <row r="21" ht="19.5" customHeight="1" s="49">
      <c r="A21" s="6" t="inlineStr">
        <is>
          <t>P250 | Bone Mask</t>
        </is>
      </c>
      <c r="B21" s="22" t="n">
        <v>0.39</v>
      </c>
      <c r="C21" s="7" t="n">
        <v>18</v>
      </c>
      <c r="D21" s="7">
        <f>C21*$B$1</f>
        <v/>
      </c>
      <c r="E21" s="8">
        <f>C21-D21</f>
        <v/>
      </c>
      <c r="F21" s="18">
        <f>E21-B21</f>
        <v/>
      </c>
      <c r="G21" s="20">
        <f>IF(B21=0,"",F21/B21)</f>
        <v/>
      </c>
      <c r="H21" s="9" t="inlineStr">
        <is>
          <t>https://csfloat.com/item/937303453678568940</t>
        </is>
      </c>
    </row>
    <row r="22" ht="19.5" customHeight="1" s="49">
      <c r="A22" s="10" t="inlineStr">
        <is>
          <t>PP-Bizon | Irradiated Alert</t>
        </is>
      </c>
      <c r="B22" s="23" t="n">
        <v>0.7</v>
      </c>
      <c r="C22" s="11" t="n">
        <v>11.95</v>
      </c>
      <c r="D22" s="11">
        <f>C22*$B$1</f>
        <v/>
      </c>
      <c r="E22" s="12">
        <f>C22-D22</f>
        <v/>
      </c>
      <c r="F22" s="19">
        <f>E22-B22</f>
        <v/>
      </c>
      <c r="G22" s="21">
        <f>IF(B22=0,"",F22/B22)</f>
        <v/>
      </c>
      <c r="H22" s="13" t="inlineStr">
        <is>
          <t>https://csfloat.com/item/936340708908994031</t>
        </is>
      </c>
    </row>
    <row r="23" ht="19.5" customHeight="1" s="49">
      <c r="A23" s="6" t="inlineStr">
        <is>
          <t>PP-Bizon | Facility Sketch</t>
        </is>
      </c>
      <c r="B23" s="22" t="n">
        <v>0.22</v>
      </c>
      <c r="C23" s="7" t="n">
        <v>14</v>
      </c>
      <c r="D23" s="7">
        <f>C23*$B$1</f>
        <v/>
      </c>
      <c r="E23" s="8">
        <f>C23-D23</f>
        <v/>
      </c>
      <c r="F23" s="18">
        <f>E23-B23</f>
        <v/>
      </c>
      <c r="G23" s="20">
        <f>IF(B23=0,"",F23/B23)</f>
        <v/>
      </c>
      <c r="H23" s="9" t="inlineStr">
        <is>
          <t>https://csfloat.com/item/937883060723125815</t>
        </is>
      </c>
    </row>
    <row r="24" ht="19.5" customHeight="1" s="49">
      <c r="A24" s="10" t="inlineStr">
        <is>
          <t>MP7 | Orange Peel</t>
        </is>
      </c>
      <c r="B24" s="23" t="n">
        <v>1.44</v>
      </c>
      <c r="C24" s="11" t="n">
        <v>4.7</v>
      </c>
      <c r="D24" s="11">
        <f>C24*$B$1</f>
        <v/>
      </c>
      <c r="E24" s="12">
        <f>C24-D24</f>
        <v/>
      </c>
      <c r="F24" s="19">
        <f>E24-B24</f>
        <v/>
      </c>
      <c r="G24" s="21">
        <f>IF(B24=0,"",F24/B24)</f>
        <v/>
      </c>
      <c r="H24" s="13" t="inlineStr">
        <is>
          <t>https://csfloat.com/item/935171660045225459</t>
        </is>
      </c>
    </row>
    <row r="25" ht="19.5" customHeight="1" s="49">
      <c r="A25" s="6" t="inlineStr">
        <is>
          <t>Five-SeveN | Coolant</t>
        </is>
      </c>
      <c r="B25" s="22" t="n">
        <v>8.01</v>
      </c>
      <c r="C25" s="7" t="n">
        <v>16.7</v>
      </c>
      <c r="D25" s="7">
        <f>C25*$B$1</f>
        <v/>
      </c>
      <c r="E25" s="8">
        <f>C25-D25</f>
        <v/>
      </c>
      <c r="F25" s="18">
        <f>E25-B25</f>
        <v/>
      </c>
      <c r="G25" s="20">
        <f>IF(B25=0,"",F25/B25)</f>
        <v/>
      </c>
      <c r="H25" s="9" t="inlineStr">
        <is>
          <t>https://csfloat.com/item/939846571065999701</t>
        </is>
      </c>
    </row>
    <row r="26" ht="19.5" customHeight="1" s="49">
      <c r="A26" s="10" t="inlineStr">
        <is>
          <t>AUG | Sweeper</t>
        </is>
      </c>
      <c r="B26" s="23" t="n">
        <v>0.03</v>
      </c>
      <c r="C26" s="11" t="n">
        <v>2.95</v>
      </c>
      <c r="D26" s="11">
        <f>C26*$B$1</f>
        <v/>
      </c>
      <c r="E26" s="12">
        <f>C26-D26</f>
        <v/>
      </c>
      <c r="F26" s="19">
        <f>E26-B26</f>
        <v/>
      </c>
      <c r="G26" s="21">
        <f>IF(B26=0,"",F26/B26)</f>
        <v/>
      </c>
      <c r="H26" s="13" t="inlineStr">
        <is>
          <t>https://csfloat.com/item/940221617957637875</t>
        </is>
      </c>
    </row>
    <row r="27" ht="19.5" customHeight="1" s="49">
      <c r="A27" s="6" t="inlineStr">
        <is>
          <t>MAG-7 | Sand Dune</t>
        </is>
      </c>
      <c r="B27" s="22" t="n">
        <v>0.34</v>
      </c>
      <c r="C27" s="7" t="n">
        <v>2.56</v>
      </c>
      <c r="D27" s="7">
        <f>C27*$B$1</f>
        <v/>
      </c>
      <c r="E27" s="8">
        <f>C27-D27</f>
        <v/>
      </c>
      <c r="F27" s="18">
        <f>E27-B27</f>
        <v/>
      </c>
      <c r="G27" s="20">
        <f>IF(B27=0,"",F27/B27)</f>
        <v/>
      </c>
      <c r="H27" s="9" t="inlineStr">
        <is>
          <t>https://csfloat.com/item/939911838408249274</t>
        </is>
      </c>
    </row>
    <row r="28" ht="19.5" customHeight="1" s="49">
      <c r="A28" s="10" t="inlineStr">
        <is>
          <t>Five-SeveN | Contractor</t>
        </is>
      </c>
      <c r="B28" s="23" t="n">
        <v>0.36</v>
      </c>
      <c r="C28" s="11" t="n">
        <v>0.9</v>
      </c>
      <c r="D28" s="11">
        <f>C28*$B$1</f>
        <v/>
      </c>
      <c r="E28" s="12">
        <f>C28-D28</f>
        <v/>
      </c>
      <c r="F28" s="19">
        <f>E28-B28</f>
        <v/>
      </c>
      <c r="G28" s="21">
        <f>IF(B28=0,"",F28/B28)</f>
        <v/>
      </c>
      <c r="H28" s="13" t="inlineStr">
        <is>
          <t>https://csfloat.com/item/938413986125317909</t>
        </is>
      </c>
    </row>
    <row r="29" ht="19.5" customHeight="1" s="49">
      <c r="A29" s="6" t="inlineStr">
        <is>
          <t>MAG-7 | Sand Dune</t>
        </is>
      </c>
      <c r="B29" s="22" t="n">
        <v>0.5</v>
      </c>
      <c r="C29" s="7" t="n">
        <v>0.9</v>
      </c>
      <c r="D29" s="7">
        <f>C29*$B$1</f>
        <v/>
      </c>
      <c r="E29" s="8">
        <f>C29-D29</f>
        <v/>
      </c>
      <c r="F29" s="18">
        <f>E29-B29</f>
        <v/>
      </c>
      <c r="G29" s="20">
        <f>IF(B29=0,"",F29/B29)</f>
        <v/>
      </c>
      <c r="H29" s="9" t="inlineStr">
        <is>
          <t>https://csfloat.com/item/938779517550464410</t>
        </is>
      </c>
    </row>
    <row r="30" ht="19.5" customHeight="1" s="49">
      <c r="A30" s="10" t="inlineStr">
        <is>
          <t>MAG-7 | Storm</t>
        </is>
      </c>
      <c r="B30" s="23" t="n">
        <v>0.27</v>
      </c>
      <c r="C30" s="11" t="n">
        <v>0.9</v>
      </c>
      <c r="D30" s="11">
        <f>C30*$B$1</f>
        <v/>
      </c>
      <c r="E30" s="12">
        <f>C30-D30</f>
        <v/>
      </c>
      <c r="F30" s="19">
        <f>E30-B30</f>
        <v/>
      </c>
      <c r="G30" s="21">
        <f>IF(B30=0,"",F30/B30)</f>
        <v/>
      </c>
      <c r="H30" s="13" t="inlineStr">
        <is>
          <t>https://csfloat.com/item/938413984762169105</t>
        </is>
      </c>
    </row>
    <row r="31" ht="19.5" customHeight="1" s="49">
      <c r="A31" s="6" t="inlineStr">
        <is>
          <t>Negev | Nuclear Waste</t>
        </is>
      </c>
      <c r="B31" s="22" t="n">
        <v>2</v>
      </c>
      <c r="C31" s="7" t="n">
        <v>18</v>
      </c>
      <c r="D31" s="7">
        <f>C31*$B$1</f>
        <v/>
      </c>
      <c r="E31" s="8">
        <f>C31-D31</f>
        <v/>
      </c>
      <c r="F31" s="18">
        <f>E31-B31</f>
        <v/>
      </c>
      <c r="G31" s="20">
        <f>IF(B31=0,"",F31/B31)</f>
        <v/>
      </c>
      <c r="H31" s="9" t="inlineStr">
        <is>
          <t>https://csfloat.com/item/940591883539844261</t>
        </is>
      </c>
    </row>
    <row r="32" ht="19.5" customHeight="1" s="49">
      <c r="A32" s="10" t="inlineStr">
        <is>
          <t>Galil AR | Hunting Blind</t>
        </is>
      </c>
      <c r="B32" s="23" t="n">
        <v>0.63</v>
      </c>
      <c r="C32" s="11" t="n">
        <v>1.9</v>
      </c>
      <c r="D32" s="11">
        <f>C32*$B$1</f>
        <v/>
      </c>
      <c r="E32" s="12">
        <f>C32-D32</f>
        <v/>
      </c>
      <c r="F32" s="19">
        <f>E32-B32</f>
        <v/>
      </c>
      <c r="G32" s="21">
        <f>IF(B32=0,"",F32/B32)</f>
        <v/>
      </c>
      <c r="H32" s="13" t="inlineStr">
        <is>
          <t>https://csfloat.com/item/940944212709474995</t>
        </is>
      </c>
    </row>
    <row r="33" ht="19.5" customHeight="1" s="49">
      <c r="A33" s="6" t="inlineStr">
        <is>
          <t>PP-Bizon | Urban Dashed</t>
        </is>
      </c>
      <c r="B33" s="22" t="n">
        <v>0.18</v>
      </c>
      <c r="C33" s="7" t="n">
        <v>0.8</v>
      </c>
      <c r="D33" s="7">
        <f>C33*$B$1</f>
        <v/>
      </c>
      <c r="E33" s="8">
        <f>C33-D33</f>
        <v/>
      </c>
      <c r="F33" s="18">
        <f>E33-B33</f>
        <v/>
      </c>
      <c r="G33" s="20">
        <f>IF(B33=0,"",F33/B33)</f>
        <v/>
      </c>
      <c r="H33" s="9" t="inlineStr">
        <is>
          <t>https://csfloat.com/item/940591726421214279</t>
        </is>
      </c>
    </row>
    <row r="34" ht="19.5" customHeight="1" s="49">
      <c r="A34" s="10" t="inlineStr">
        <is>
          <t>G3SG1 | Desert Storm</t>
        </is>
      </c>
      <c r="B34" s="23" t="n">
        <v>5</v>
      </c>
      <c r="C34" s="11" t="n">
        <v>7.25</v>
      </c>
      <c r="D34" s="11">
        <f>C34*$B$1</f>
        <v/>
      </c>
      <c r="E34" s="12">
        <f>C34-D34</f>
        <v/>
      </c>
      <c r="F34" s="19">
        <f>E34-B34</f>
        <v/>
      </c>
      <c r="G34" s="21">
        <f>IF(B34=0,"",F34/B34)</f>
        <v/>
      </c>
      <c r="H34" s="13" t="inlineStr">
        <is>
          <t>https://csfloat.com/item/941850902548055637</t>
        </is>
      </c>
    </row>
    <row r="35" ht="19.5" customHeight="1" s="49">
      <c r="A35" s="6" t="inlineStr">
        <is>
          <t>SG 553 | Fallout Warning</t>
        </is>
      </c>
      <c r="B35" s="22" t="n">
        <v>14.21</v>
      </c>
      <c r="C35" s="7" t="n">
        <v>14.3</v>
      </c>
      <c r="D35" s="7">
        <f>C35*$B$1</f>
        <v/>
      </c>
      <c r="E35" s="8">
        <f>C35-D35</f>
        <v/>
      </c>
      <c r="F35" s="18">
        <f>E35-B35</f>
        <v/>
      </c>
      <c r="G35" s="20">
        <f>IF(B35=0,"",F35/B35)</f>
        <v/>
      </c>
      <c r="H35" s="9" t="inlineStr">
        <is>
          <t>https://csfloat.com/item/942097726928192228</t>
        </is>
      </c>
    </row>
    <row r="36" ht="19.5" customHeight="1" s="49">
      <c r="A36" s="10" t="inlineStr">
        <is>
          <t>SG 553 | Darkwing (Missbid)</t>
        </is>
      </c>
      <c r="B36" s="23" t="n">
        <v>6.13</v>
      </c>
      <c r="C36" s="11" t="n">
        <v>3</v>
      </c>
      <c r="D36" s="11">
        <f>C36*$B$1</f>
        <v/>
      </c>
      <c r="E36" s="12">
        <f>C36-D36</f>
        <v/>
      </c>
      <c r="F36" s="19">
        <f>E36-B36</f>
        <v/>
      </c>
      <c r="G36" s="21">
        <f>IF(B36=0,"",F36/B36)</f>
        <v/>
      </c>
      <c r="H36" s="13" t="inlineStr">
        <is>
          <t>https://csfloat.com/item/934039534025444054</t>
        </is>
      </c>
    </row>
    <row r="37" ht="19.5" customHeight="1" s="49">
      <c r="A37" s="6" t="inlineStr">
        <is>
          <t>MAG-7 | Irradiated Alert</t>
        </is>
      </c>
      <c r="B37" s="22" t="n">
        <v>1.3</v>
      </c>
      <c r="C37" s="7" t="n">
        <v>18</v>
      </c>
      <c r="D37" s="7">
        <f>C37*$B$1</f>
        <v/>
      </c>
      <c r="E37" s="8">
        <f>C37-D37</f>
        <v/>
      </c>
      <c r="F37" s="18">
        <f>E37-B37</f>
        <v/>
      </c>
      <c r="G37" s="20">
        <f>IF(B37=0,"",F37/B37)</f>
        <v/>
      </c>
      <c r="H37" s="9" t="inlineStr">
        <is>
          <t>https://csfloat.com/item/940812182675916239</t>
        </is>
      </c>
    </row>
    <row r="38" ht="19.5" customHeight="1" s="49">
      <c r="A38" s="10" t="inlineStr">
        <is>
          <t>Sawed-Off | Sage Spray</t>
        </is>
      </c>
      <c r="B38" s="23" t="n">
        <v>0.03</v>
      </c>
      <c r="C38" s="11" t="n">
        <v>0.4</v>
      </c>
      <c r="D38" s="11">
        <f>C38*$B$1</f>
        <v/>
      </c>
      <c r="E38" s="12">
        <f>C38-D38</f>
        <v/>
      </c>
      <c r="F38" s="19">
        <f>E38-B38</f>
        <v/>
      </c>
      <c r="G38" s="21">
        <f>IF(B38=0,"",F38/B38)</f>
        <v/>
      </c>
      <c r="H38" s="13" t="inlineStr">
        <is>
          <t>https://csfloat.com/item/942380198584782121</t>
        </is>
      </c>
    </row>
    <row r="39" ht="19.5" customHeight="1" s="49">
      <c r="A39" s="6" t="inlineStr">
        <is>
          <t>Nova | Walnut</t>
        </is>
      </c>
      <c r="B39" s="22" t="n">
        <v>6.19</v>
      </c>
      <c r="C39" s="7" t="n">
        <v>6.35</v>
      </c>
      <c r="D39" s="7">
        <f>C39*$B$1</f>
        <v/>
      </c>
      <c r="E39" s="8">
        <f>C39-D39</f>
        <v/>
      </c>
      <c r="F39" s="18">
        <f>E39-B39</f>
        <v/>
      </c>
      <c r="G39" s="20">
        <f>IF(B39=0,"",F39/B39)</f>
        <v/>
      </c>
      <c r="H39" s="9" t="inlineStr">
        <is>
          <t>https://csfloat.com/item/942760513484490360</t>
        </is>
      </c>
    </row>
    <row r="40" ht="19.5" customHeight="1" s="49">
      <c r="A40" s="10" t="inlineStr">
        <is>
          <t>MAG-7 | Sand Dune</t>
        </is>
      </c>
      <c r="B40" s="23" t="n">
        <v>3.52</v>
      </c>
      <c r="C40" s="11" t="n">
        <v>3.64</v>
      </c>
      <c r="D40" s="11">
        <f>C40*$B$1</f>
        <v/>
      </c>
      <c r="E40" s="12">
        <f>C40-D40</f>
        <v/>
      </c>
      <c r="F40" s="19">
        <f>E40-B40</f>
        <v/>
      </c>
      <c r="G40" s="21">
        <f>IF(B40=0,"",F40/B40)</f>
        <v/>
      </c>
      <c r="H40" s="13" t="inlineStr">
        <is>
          <t>https://csfloat.com/item/941167000934286690</t>
        </is>
      </c>
    </row>
    <row r="41" ht="19.5" customHeight="1" s="49">
      <c r="A41" s="6" t="inlineStr">
        <is>
          <t>MP9 | Storm</t>
        </is>
      </c>
      <c r="B41" s="22" t="n">
        <v>0.38</v>
      </c>
      <c r="C41" s="7" t="n">
        <v>5.2</v>
      </c>
      <c r="D41" s="7">
        <f>C41*$B$1</f>
        <v/>
      </c>
      <c r="E41" s="8">
        <f>C41-D41</f>
        <v/>
      </c>
      <c r="F41" s="18">
        <f>E41-B41</f>
        <v/>
      </c>
      <c r="G41" s="20">
        <f>IF(B41=0,"",F41/B41)</f>
        <v/>
      </c>
      <c r="H41" s="9" t="inlineStr">
        <is>
          <t>https://csfloat.com/item/934830290088625061</t>
        </is>
      </c>
    </row>
    <row r="42" ht="19.5" customHeight="1" s="49">
      <c r="A42" s="10" t="inlineStr">
        <is>
          <t>Urban Dashed (Dig Foil kato)</t>
        </is>
      </c>
      <c r="B42" s="23" t="n">
        <v>33</v>
      </c>
      <c r="C42" s="11" t="n">
        <v>39.14</v>
      </c>
      <c r="D42" s="11">
        <f>C42*$B$1</f>
        <v/>
      </c>
      <c r="E42" s="12">
        <f>C42-D42</f>
        <v/>
      </c>
      <c r="F42" s="19">
        <f>E42-B42</f>
        <v/>
      </c>
      <c r="G42" s="21">
        <f>IF(B42=0,"",F42/B42)</f>
        <v/>
      </c>
      <c r="H42" s="13" t="inlineStr">
        <is>
          <t>https://csfloat.com/item/941411714191196937</t>
        </is>
      </c>
    </row>
    <row r="43" ht="19.5" customHeight="1" s="49">
      <c r="A43" s="6" t="inlineStr">
        <is>
          <t>MAG-7 | Sand Dune</t>
        </is>
      </c>
      <c r="B43" s="22" t="n">
        <v>0.33</v>
      </c>
      <c r="C43" s="7" t="n">
        <v>0.9</v>
      </c>
      <c r="D43" s="7">
        <f>C43*$B$1</f>
        <v/>
      </c>
      <c r="E43" s="8">
        <f>C43-D43</f>
        <v/>
      </c>
      <c r="F43" s="18">
        <f>E43-B43</f>
        <v/>
      </c>
      <c r="G43" s="20">
        <f>IF(B43=0,"",F43/B43)</f>
        <v/>
      </c>
      <c r="H43" s="9" t="inlineStr">
        <is>
          <t>https://csfloat.com/item/938779511460334940</t>
        </is>
      </c>
    </row>
    <row r="44" ht="19.5" customHeight="1" s="49">
      <c r="A44" s="10" t="inlineStr">
        <is>
          <t>UMP-45 | Scorched</t>
        </is>
      </c>
      <c r="B44" s="23" t="n">
        <v>0.03</v>
      </c>
      <c r="C44" s="11" t="n">
        <v>0.6</v>
      </c>
      <c r="D44" s="11">
        <f>C44*$B$1</f>
        <v/>
      </c>
      <c r="E44" s="12">
        <f>C44-D44</f>
        <v/>
      </c>
      <c r="F44" s="19">
        <f>E44-B44</f>
        <v/>
      </c>
      <c r="G44" s="21">
        <f>IF(B44=0,"",F44/B44)</f>
        <v/>
      </c>
      <c r="H44" s="13" t="inlineStr">
        <is>
          <t>https://csfloat.com/item/934829982532895355</t>
        </is>
      </c>
    </row>
    <row r="45" ht="19.5" customHeight="1" s="49">
      <c r="A45" s="6" t="inlineStr">
        <is>
          <t>MP5-SD | Dirt Drop</t>
        </is>
      </c>
      <c r="B45" s="22" t="n">
        <v>0.03</v>
      </c>
      <c r="C45" s="7" t="n">
        <v>0.15</v>
      </c>
      <c r="D45" s="7">
        <f>C45*$B$1</f>
        <v/>
      </c>
      <c r="E45" s="8">
        <f>C45-D45</f>
        <v/>
      </c>
      <c r="F45" s="18">
        <f>E45-B45</f>
        <v/>
      </c>
      <c r="G45" s="20">
        <f>IF(B45=0,"",F45/B45)</f>
        <v/>
      </c>
      <c r="H45" s="9" t="inlineStr">
        <is>
          <t>https://csfloat.com/item/942959406809745713</t>
        </is>
      </c>
    </row>
    <row r="46" ht="19.5" customHeight="1" s="49">
      <c r="A46" s="10" t="inlineStr">
        <is>
          <t>MAG-7 | Sand Dune</t>
        </is>
      </c>
      <c r="B46" s="23" t="n">
        <v>1</v>
      </c>
      <c r="C46" s="11" t="n">
        <v>4.3</v>
      </c>
      <c r="D46" s="11">
        <f>C46*$B$1</f>
        <v/>
      </c>
      <c r="E46" s="12">
        <f>C46-D46</f>
        <v/>
      </c>
      <c r="F46" s="19">
        <f>E46-B46</f>
        <v/>
      </c>
      <c r="G46" s="21">
        <f>IF(B46=0,"",F46/B46)</f>
        <v/>
      </c>
      <c r="H46" s="13" t="inlineStr">
        <is>
          <t>https://csfloat.com/item/942004799925258457</t>
        </is>
      </c>
    </row>
    <row r="47" ht="19.5" customHeight="1" s="49">
      <c r="A47" s="6" t="inlineStr">
        <is>
          <t>PP-Bizon | Urban Dashed</t>
        </is>
      </c>
      <c r="B47" s="22" t="n">
        <v>0.35</v>
      </c>
      <c r="C47" s="7" t="n">
        <v>0.8</v>
      </c>
      <c r="D47" s="7">
        <f>C47*$B$1</f>
        <v/>
      </c>
      <c r="E47" s="8">
        <f>C47-D47</f>
        <v/>
      </c>
      <c r="F47" s="18">
        <f>E47-B47</f>
        <v/>
      </c>
      <c r="G47" s="20">
        <f>IF(B47=0,"",F47/B47)</f>
        <v/>
      </c>
      <c r="H47" s="9" t="inlineStr">
        <is>
          <t>https://csfloat.com/item/940591727046165578</t>
        </is>
      </c>
    </row>
    <row r="48" ht="19.5" customHeight="1" s="49">
      <c r="A48" s="10" t="inlineStr">
        <is>
          <t>UMP-45 | Facility Dark</t>
        </is>
      </c>
      <c r="B48" s="23" t="n">
        <v>0.03</v>
      </c>
      <c r="C48" s="11" t="n">
        <v>0.15</v>
      </c>
      <c r="D48" s="11">
        <f>C48*$B$1</f>
        <v/>
      </c>
      <c r="E48" s="12">
        <f>C48-D48</f>
        <v/>
      </c>
      <c r="F48" s="19">
        <f>E48-B48</f>
        <v/>
      </c>
      <c r="G48" s="21">
        <f>IF(B48=0,"",F48/B48)</f>
        <v/>
      </c>
      <c r="H48" s="13" t="inlineStr">
        <is>
          <t>https://csfloat.com/item/942380227206712787</t>
        </is>
      </c>
    </row>
    <row r="49" ht="19.5" customHeight="1" s="49">
      <c r="A49" s="6" t="inlineStr">
        <is>
          <t>Souvenir M249 | Contrast Spray</t>
        </is>
      </c>
      <c r="B49" s="22" t="n">
        <v>5.08</v>
      </c>
      <c r="C49" s="7" t="n">
        <v>6.5</v>
      </c>
      <c r="D49" s="7">
        <f>C49*$B$1</f>
        <v/>
      </c>
      <c r="E49" s="8">
        <f>C49-D49</f>
        <v/>
      </c>
      <c r="F49" s="18">
        <f>E49-B49</f>
        <v/>
      </c>
      <c r="G49" s="20">
        <f>IF(B49=0,"",F49/B49)</f>
        <v/>
      </c>
      <c r="H49" s="9" t="inlineStr">
        <is>
          <t>https://csfloat.com/item/944971515626128371</t>
        </is>
      </c>
    </row>
    <row r="50" ht="19.5" customHeight="1" s="49">
      <c r="A50" s="10" t="inlineStr">
        <is>
          <t>Souvenir M249 | Contrast Spray</t>
        </is>
      </c>
      <c r="B50" s="23" t="n">
        <v>5.08</v>
      </c>
      <c r="C50" s="11" t="n">
        <v>6.5</v>
      </c>
      <c r="D50" s="11">
        <f>C50*$B$1</f>
        <v/>
      </c>
      <c r="E50" s="12">
        <f>C50-D50</f>
        <v/>
      </c>
      <c r="F50" s="19">
        <f>E50-B50</f>
        <v/>
      </c>
      <c r="G50" s="21">
        <f>IF(B50=0,"",F50/B50)</f>
        <v/>
      </c>
      <c r="H50" s="13" t="inlineStr">
        <is>
          <t>https://csfloat.com/item/944971514254590943</t>
        </is>
      </c>
    </row>
    <row r="51" ht="19.5" customHeight="1" s="49">
      <c r="A51" s="6" t="inlineStr">
        <is>
          <t>PP-Bizon | Irradiated Alert</t>
        </is>
      </c>
      <c r="B51" s="22" t="n">
        <v>0.47</v>
      </c>
      <c r="C51" s="7" t="n">
        <v>2.48</v>
      </c>
      <c r="D51" s="7">
        <f>C51*$B$1</f>
        <v/>
      </c>
      <c r="E51" s="8">
        <f>C51-D51</f>
        <v/>
      </c>
      <c r="F51" s="18">
        <f>E51-B51</f>
        <v/>
      </c>
      <c r="G51" s="20">
        <f>IF(B51=0,"",F51/B51)</f>
        <v/>
      </c>
      <c r="H51" s="9" t="inlineStr">
        <is>
          <t>https://csfloat.com/item/945141154431764767</t>
        </is>
      </c>
    </row>
    <row r="52" ht="19.5" customHeight="1" s="49">
      <c r="A52" s="10" t="inlineStr">
        <is>
          <t>MP9 | Slide</t>
        </is>
      </c>
      <c r="B52" s="23" t="n">
        <v>0.1</v>
      </c>
      <c r="C52" s="11" t="n">
        <v>3.2</v>
      </c>
      <c r="D52" s="11">
        <f>C52*$B$1</f>
        <v/>
      </c>
      <c r="E52" s="12">
        <f>C52-D52</f>
        <v/>
      </c>
      <c r="F52" s="19">
        <f>E52-B52</f>
        <v/>
      </c>
      <c r="G52" s="21">
        <f>IF(B52=0,"",F52/B52)</f>
        <v/>
      </c>
      <c r="H52" s="13" t="inlineStr">
        <is>
          <t>https://csfloat.com/item/944994492614839976</t>
        </is>
      </c>
    </row>
    <row r="53" ht="19.5" customHeight="1" s="49">
      <c r="A53" s="6" t="inlineStr">
        <is>
          <t>P90 | Scorched</t>
        </is>
      </c>
      <c r="B53" s="22" t="n">
        <v>0.23</v>
      </c>
      <c r="C53" s="7" t="n">
        <v>8</v>
      </c>
      <c r="D53" s="7">
        <f>C53*$B$1</f>
        <v/>
      </c>
      <c r="E53" s="8">
        <f>C53-D53</f>
        <v/>
      </c>
      <c r="F53" s="18">
        <f>E53-B53</f>
        <v/>
      </c>
      <c r="G53" s="20">
        <f>IF(B53=0,"",F53/B53)</f>
        <v/>
      </c>
      <c r="H53" s="9" t="inlineStr">
        <is>
          <t>https://csfloat.com/item/944923066419513626</t>
        </is>
      </c>
    </row>
    <row r="54" ht="19.5" customHeight="1" s="49">
      <c r="A54" s="10" t="inlineStr">
        <is>
          <t>Negev | Nuclear Waste</t>
        </is>
      </c>
      <c r="B54" s="23" t="n">
        <v>6.77</v>
      </c>
      <c r="C54" s="11" t="n">
        <v>8.24</v>
      </c>
      <c r="D54" s="11">
        <f>C54*$B$1</f>
        <v/>
      </c>
      <c r="E54" s="12">
        <f>C54-D54</f>
        <v/>
      </c>
      <c r="F54" s="19">
        <f>E54-B54</f>
        <v/>
      </c>
      <c r="G54" s="21">
        <f>IF(B54=0,"",F54/B54)</f>
        <v/>
      </c>
      <c r="H54" s="13" t="inlineStr">
        <is>
          <t>https://csfloat.com/item/945726167439249190</t>
        </is>
      </c>
    </row>
    <row r="55" ht="19.5" customHeight="1" s="49">
      <c r="A55" s="6" t="inlineStr">
        <is>
          <t>SSG 08 | Detour</t>
        </is>
      </c>
      <c r="B55" s="22" t="n">
        <v>25.5</v>
      </c>
      <c r="C55" s="7" t="n">
        <v>87.36</v>
      </c>
      <c r="D55" s="7">
        <f>C55*$B$1</f>
        <v/>
      </c>
      <c r="E55" s="8">
        <f>C55-D55</f>
        <v/>
      </c>
      <c r="F55" s="18">
        <f>E55-B55</f>
        <v/>
      </c>
      <c r="G55" s="20">
        <f>IF(B55=0,"",F55/B55)</f>
        <v/>
      </c>
      <c r="H55" s="9" t="inlineStr">
        <is>
          <t>https://csfloat.com/item/927758697655045968</t>
        </is>
      </c>
    </row>
    <row r="56" ht="19.5" customHeight="1" s="49">
      <c r="A56" s="10" t="inlineStr">
        <is>
          <t>UMP-45 | Scorched</t>
        </is>
      </c>
      <c r="B56" s="23" t="n">
        <v>0.03</v>
      </c>
      <c r="C56" s="11" t="n">
        <v>0.52</v>
      </c>
      <c r="D56" s="11">
        <f>C56*$B$1</f>
        <v/>
      </c>
      <c r="E56" s="12">
        <f>C56-D56</f>
        <v/>
      </c>
      <c r="F56" s="19">
        <f>E56-B56</f>
        <v/>
      </c>
      <c r="G56" s="21">
        <f>IF(B56=0,"",F56/B56)</f>
        <v/>
      </c>
      <c r="H56" s="13" t="inlineStr">
        <is>
          <t>https://csfloat.com/item/945645173096974707</t>
        </is>
      </c>
    </row>
    <row r="57" ht="19.5" customHeight="1" s="49">
      <c r="A57" s="6" t="inlineStr">
        <is>
          <t>UMP-45 | Scorched</t>
        </is>
      </c>
      <c r="B57" s="22" t="n">
        <v>0.04</v>
      </c>
      <c r="C57" s="7" t="n">
        <v>0.7</v>
      </c>
      <c r="D57" s="7">
        <f>C57*$B$1</f>
        <v/>
      </c>
      <c r="E57" s="8">
        <f>C57-D57</f>
        <v/>
      </c>
      <c r="F57" s="18">
        <f>E57-B57</f>
        <v/>
      </c>
      <c r="G57" s="20">
        <f>IF(B57=0,"",F57/B57)</f>
        <v/>
      </c>
      <c r="H57" s="9" t="inlineStr">
        <is>
          <t>https://csfloat.com/item/945740226700118566</t>
        </is>
      </c>
    </row>
    <row r="58" ht="19.5" customHeight="1" s="49">
      <c r="A58" s="10" t="inlineStr">
        <is>
          <t>AUG | Colony</t>
        </is>
      </c>
      <c r="B58" s="23" t="n">
        <v>0.36</v>
      </c>
      <c r="C58" s="11" t="n">
        <v>5</v>
      </c>
      <c r="D58" s="11">
        <f>C58*$B$1</f>
        <v/>
      </c>
      <c r="E58" s="12">
        <f>C58-D58</f>
        <v/>
      </c>
      <c r="F58" s="19">
        <f>E58-B58</f>
        <v/>
      </c>
      <c r="G58" s="21">
        <f>IF(B58=0,"",F58/B58)</f>
        <v/>
      </c>
      <c r="H58" s="13" t="inlineStr">
        <is>
          <t>https://csfloat.com/item/945740548134799440</t>
        </is>
      </c>
    </row>
    <row r="59" ht="19.5" customHeight="1" s="49">
      <c r="A59" s="6" t="inlineStr">
        <is>
          <t>Dual Berettas | Colony</t>
        </is>
      </c>
      <c r="B59" s="22" t="n">
        <v>0.34</v>
      </c>
      <c r="C59" s="7" t="n">
        <v>3</v>
      </c>
      <c r="D59" s="7">
        <f>C59*$B$1</f>
        <v/>
      </c>
      <c r="E59" s="8">
        <f>C59-D59</f>
        <v/>
      </c>
      <c r="F59" s="18">
        <f>E59-B59</f>
        <v/>
      </c>
      <c r="G59" s="20">
        <f>IF(B59=0,"",F59/B59)</f>
        <v/>
      </c>
      <c r="H59" s="9" t="inlineStr">
        <is>
          <t>https://csfloat.com/item/945740590572768400</t>
        </is>
      </c>
    </row>
    <row r="60" ht="19.5" customHeight="1" s="49">
      <c r="A60" s="10" t="inlineStr">
        <is>
          <t>MAG-7 | Sand Dune</t>
        </is>
      </c>
      <c r="B60" s="23" t="n">
        <v>3.52</v>
      </c>
      <c r="C60" s="11" t="n">
        <v>4.9</v>
      </c>
      <c r="D60" s="11">
        <f>C60*$B$1</f>
        <v/>
      </c>
      <c r="E60" s="12">
        <f>C60-D60</f>
        <v/>
      </c>
      <c r="F60" s="19">
        <f>E60-B60</f>
        <v/>
      </c>
      <c r="G60" s="21">
        <f>IF(B60=0,"",F60/B60)</f>
        <v/>
      </c>
      <c r="H60" s="13" t="inlineStr">
        <is>
          <t>https://csfloat.com/item/945741234926915351</t>
        </is>
      </c>
    </row>
    <row r="61" ht="19.5" customHeight="1" s="49">
      <c r="A61" s="6" t="inlineStr">
        <is>
          <t>MP5-SD | Dirt Drop</t>
        </is>
      </c>
      <c r="B61" s="22" t="n">
        <v>0.03</v>
      </c>
      <c r="C61" s="7" t="n">
        <v>0.3</v>
      </c>
      <c r="D61" s="7">
        <f>C61*$B$1</f>
        <v/>
      </c>
      <c r="E61" s="8">
        <f>C61-D61</f>
        <v/>
      </c>
      <c r="F61" s="18">
        <f>E61-B61</f>
        <v/>
      </c>
      <c r="G61" s="20">
        <f>IF(B61=0,"",F61/B61)</f>
        <v/>
      </c>
      <c r="H61" s="9" t="inlineStr">
        <is>
          <t>https://csfloat.com/item/946003544329291803</t>
        </is>
      </c>
    </row>
    <row r="62" ht="19.5" customHeight="1" s="49">
      <c r="A62" s="10" t="inlineStr">
        <is>
          <t>MP5-SD | Neon Squeezer</t>
        </is>
      </c>
      <c r="B62" s="23" t="n">
        <v>5.25</v>
      </c>
      <c r="C62" s="11" t="n">
        <v>20</v>
      </c>
      <c r="D62" s="11">
        <f>C62*$B$1</f>
        <v/>
      </c>
      <c r="E62" s="12">
        <f>C62-D62</f>
        <v/>
      </c>
      <c r="F62" s="19">
        <f>E62-B62</f>
        <v/>
      </c>
      <c r="G62" s="21">
        <f>IF(B62=0,"",F62/B62)</f>
        <v/>
      </c>
      <c r="H62" s="13" t="inlineStr">
        <is>
          <t>https://csfloat.com/item/944204731776108999</t>
        </is>
      </c>
    </row>
    <row r="63" ht="19.5" customHeight="1" s="49">
      <c r="A63" s="6" t="inlineStr">
        <is>
          <t>Dual Berettas | Colony</t>
        </is>
      </c>
      <c r="B63" s="22" t="n">
        <v>0.29</v>
      </c>
      <c r="C63" s="7" t="n">
        <v>0.71</v>
      </c>
      <c r="D63" s="7">
        <f>C63*$B$1</f>
        <v/>
      </c>
      <c r="E63" s="8">
        <f>C63-D63</f>
        <v/>
      </c>
      <c r="F63" s="18">
        <f>E63-B63</f>
        <v/>
      </c>
      <c r="G63" s="20">
        <f>IF(B63=0,"",F63/B63)</f>
        <v/>
      </c>
      <c r="H63" s="9" t="inlineStr">
        <is>
          <t>https://csfloat.com/item/945812314077135349</t>
        </is>
      </c>
    </row>
    <row r="64" ht="19.5" customHeight="1" s="49">
      <c r="A64" s="10" t="inlineStr">
        <is>
          <t>MAG-7 | Sand Dune</t>
        </is>
      </c>
      <c r="B64" s="23" t="n">
        <v>1.02</v>
      </c>
      <c r="C64" s="11" t="n">
        <v>2.8</v>
      </c>
      <c r="D64" s="11">
        <f>C64*$B$1</f>
        <v/>
      </c>
      <c r="E64" s="12">
        <f>C64-D64</f>
        <v/>
      </c>
      <c r="F64" s="19">
        <f>E64-B64</f>
        <v/>
      </c>
      <c r="G64" s="21">
        <f>IF(B64=0,"",F64/B64)</f>
        <v/>
      </c>
      <c r="H64" s="13" t="inlineStr">
        <is>
          <t>https://csfloat.com/item/946108551498173520</t>
        </is>
      </c>
    </row>
    <row r="65" ht="19.5" customHeight="1" s="49">
      <c r="A65" s="6" t="inlineStr">
        <is>
          <t>MP9 | Sand Dashed</t>
        </is>
      </c>
      <c r="B65" s="22" t="n">
        <v>0.17</v>
      </c>
      <c r="C65" s="7" t="n">
        <v>1.6</v>
      </c>
      <c r="D65" s="7">
        <f>C65*$B$1</f>
        <v/>
      </c>
      <c r="E65" s="8">
        <f>C65-D65</f>
        <v/>
      </c>
      <c r="F65" s="18">
        <f>E65-B65</f>
        <v/>
      </c>
      <c r="G65" s="20">
        <f>IF(B65=0,"",F65/B65)</f>
        <v/>
      </c>
      <c r="H65" s="9" t="inlineStr">
        <is>
          <t>https://csfloat.com/item/946109029795627680</t>
        </is>
      </c>
    </row>
    <row r="66" ht="19.5" customHeight="1" s="49">
      <c r="A66" s="10" t="inlineStr">
        <is>
          <t>MP9 | Slide</t>
        </is>
      </c>
      <c r="B66" s="23" t="n">
        <v>0.3</v>
      </c>
      <c r="C66" s="11" t="n">
        <v>0.71</v>
      </c>
      <c r="D66" s="11">
        <f>C66*$B$1</f>
        <v/>
      </c>
      <c r="E66" s="12">
        <f>C66-D66</f>
        <v/>
      </c>
      <c r="F66" s="19">
        <f>E66-B66</f>
        <v/>
      </c>
      <c r="G66" s="21">
        <f>IF(B66=0,"",F66/B66)</f>
        <v/>
      </c>
      <c r="H66" s="13" t="inlineStr">
        <is>
          <t>https://csfloat.com/item/946189819753661485</t>
        </is>
      </c>
    </row>
    <row r="67" ht="19.5" customHeight="1" s="49">
      <c r="A67" s="6" t="inlineStr">
        <is>
          <t>UMP-45 | Indigo</t>
        </is>
      </c>
      <c r="B67" s="22" t="n">
        <v>1.22</v>
      </c>
      <c r="C67" s="7" t="n">
        <v>3.25</v>
      </c>
      <c r="D67" s="7">
        <f>C67*$B$1</f>
        <v/>
      </c>
      <c r="E67" s="8">
        <f>C67-D67</f>
        <v/>
      </c>
      <c r="F67" s="18">
        <f>E67-B67</f>
        <v/>
      </c>
      <c r="G67" s="20">
        <f>IF(B67=0,"",F67/B67)</f>
        <v/>
      </c>
      <c r="H67" s="9" t="inlineStr">
        <is>
          <t>https://csfloat.com/item/946862658613806081</t>
        </is>
      </c>
    </row>
    <row r="68" ht="19.5" customHeight="1" s="49">
      <c r="A68" s="10" t="inlineStr">
        <is>
          <t>MAG-7 | Storm</t>
        </is>
      </c>
      <c r="B68" s="23" t="n">
        <v>0.27</v>
      </c>
      <c r="C68" s="11" t="n">
        <v>0.7</v>
      </c>
      <c r="D68" s="11">
        <f>C68*$B$1</f>
        <v/>
      </c>
      <c r="E68" s="12">
        <f>C68-D68</f>
        <v/>
      </c>
      <c r="F68" s="19">
        <f>E68-B68</f>
        <v/>
      </c>
      <c r="G68" s="21">
        <f>IF(B68=0,"",F68/B68)</f>
        <v/>
      </c>
      <c r="H68" s="13" t="inlineStr">
        <is>
          <t>https://csfloat.com/item/946106391716826856</t>
        </is>
      </c>
    </row>
    <row r="69" ht="19.5" customHeight="1" s="49">
      <c r="A69" s="6" t="inlineStr">
        <is>
          <t>MAG-7 | Sand Dune</t>
        </is>
      </c>
      <c r="B69" s="22" t="n">
        <v>0.9399999999999999</v>
      </c>
      <c r="C69" s="7" t="n">
        <v>1.7</v>
      </c>
      <c r="D69" s="7">
        <f>C69*$B$1</f>
        <v/>
      </c>
      <c r="E69" s="8">
        <f>C69-D69</f>
        <v/>
      </c>
      <c r="F69" s="18">
        <f>E69-B69</f>
        <v/>
      </c>
      <c r="G69" s="20">
        <f>IF(B69=0,"",F69/B69)</f>
        <v/>
      </c>
      <c r="H69" s="9" t="inlineStr">
        <is>
          <t>https://csfloat.com/item/946760700020262579</t>
        </is>
      </c>
    </row>
    <row r="70" ht="19.5" customHeight="1" s="49">
      <c r="A70" s="10" t="inlineStr">
        <is>
          <t>Sawed-Off | Irradiated Alert</t>
        </is>
      </c>
      <c r="B70" s="23" t="n">
        <v>1.13</v>
      </c>
      <c r="C70" s="11" t="n">
        <v>12.8</v>
      </c>
      <c r="D70" s="11">
        <f>C70*$B$1</f>
        <v/>
      </c>
      <c r="E70" s="12">
        <f>C70-D70</f>
        <v/>
      </c>
      <c r="F70" s="19">
        <f>E70-B70</f>
        <v/>
      </c>
      <c r="G70" s="21">
        <f>IF(B70=0,"",F70/B70)</f>
        <v/>
      </c>
      <c r="H70" s="13" t="inlineStr">
        <is>
          <t>https://csfloat.com/item/946761514428272447</t>
        </is>
      </c>
    </row>
    <row r="71" ht="19.5" customHeight="1" s="49">
      <c r="A71" s="6" t="inlineStr">
        <is>
          <t>Sawed-Off | Sage Spray</t>
        </is>
      </c>
      <c r="B71" s="22" t="n">
        <v>0.7</v>
      </c>
      <c r="C71" s="7" t="n">
        <v>1.05</v>
      </c>
      <c r="D71" s="7">
        <f>C71*$B$1</f>
        <v/>
      </c>
      <c r="E71" s="8">
        <f>C71-D71</f>
        <v/>
      </c>
      <c r="F71" s="18">
        <f>E71-B71</f>
        <v/>
      </c>
      <c r="G71" s="20">
        <f>IF(B71=0,"",F71/B71)</f>
        <v/>
      </c>
      <c r="H71" s="9" t="inlineStr">
        <is>
          <t>https://csfloat.com/item/946853295698348855</t>
        </is>
      </c>
    </row>
    <row r="72" ht="19.5" customHeight="1" s="49">
      <c r="A72" s="10" t="inlineStr">
        <is>
          <t>MAG-7 | Sand Dune</t>
        </is>
      </c>
      <c r="B72" s="23" t="n">
        <v>0.41</v>
      </c>
      <c r="C72" s="11" t="n">
        <v>3.2</v>
      </c>
      <c r="D72" s="11">
        <f>C72*$B$1</f>
        <v/>
      </c>
      <c r="E72" s="12">
        <f>C72-D72</f>
        <v/>
      </c>
      <c r="F72" s="19">
        <f>E72-B72</f>
        <v/>
      </c>
      <c r="G72" s="21">
        <f>IF(B72=0,"",F72/B72)</f>
        <v/>
      </c>
      <c r="H72" s="13" t="inlineStr">
        <is>
          <t>https://csfloat.com/item/946884882339074030</t>
        </is>
      </c>
    </row>
    <row r="73" ht="19.5" customHeight="1" s="49">
      <c r="A73" s="6" t="inlineStr">
        <is>
          <t>MAG-7 | Storm</t>
        </is>
      </c>
      <c r="B73" s="22" t="n">
        <v>0.03</v>
      </c>
      <c r="C73" s="7" t="n">
        <v>0.4</v>
      </c>
      <c r="D73" s="7">
        <f>C73*$B$1</f>
        <v/>
      </c>
      <c r="E73" s="8">
        <f>C73-D73</f>
        <v/>
      </c>
      <c r="F73" s="18">
        <f>E73-B73</f>
        <v/>
      </c>
      <c r="G73" s="20">
        <f>IF(B73=0,"",F73/B73)</f>
        <v/>
      </c>
      <c r="H73" s="9" t="inlineStr">
        <is>
          <t>https://csfloat.com/item/947466202215745053</t>
        </is>
      </c>
    </row>
    <row r="74" ht="19.5" customHeight="1" s="49">
      <c r="A74" s="10" t="inlineStr">
        <is>
          <t>P90 | Scorched</t>
        </is>
      </c>
      <c r="B74" s="23" t="n">
        <v>0.42</v>
      </c>
      <c r="C74" s="11" t="n">
        <v>1.3</v>
      </c>
      <c r="D74" s="11">
        <f>C74*$B$1</f>
        <v/>
      </c>
      <c r="E74" s="12">
        <f>C74-D74</f>
        <v/>
      </c>
      <c r="F74" s="19">
        <f>E74-B74</f>
        <v/>
      </c>
      <c r="G74" s="21">
        <f>IF(B74=0,"",F74/B74)</f>
        <v/>
      </c>
      <c r="H74" s="13" t="inlineStr">
        <is>
          <t>https://csfloat.com/item/947222462762975238</t>
        </is>
      </c>
    </row>
    <row r="75" ht="19.5" customHeight="1" s="49">
      <c r="A75" s="6" t="inlineStr">
        <is>
          <t>Nova | Walnut</t>
        </is>
      </c>
      <c r="B75" s="22" t="n">
        <v>0.6899999999999999</v>
      </c>
      <c r="C75" s="7" t="n">
        <v>2.1</v>
      </c>
      <c r="D75" s="7">
        <f>C75*$B$1</f>
        <v/>
      </c>
      <c r="E75" s="8">
        <f>C75-D75</f>
        <v/>
      </c>
      <c r="F75" s="18">
        <f>E75-B75</f>
        <v/>
      </c>
      <c r="G75" s="20">
        <f>IF(B75=0,"",F75/B75)</f>
        <v/>
      </c>
      <c r="H75" s="9" t="inlineStr">
        <is>
          <t>https://csfloat.com/item/947246760789672354</t>
        </is>
      </c>
    </row>
    <row r="76" ht="19.5" customHeight="1" s="49">
      <c r="A76" s="10" t="inlineStr">
        <is>
          <t>MAG-7 | Sand Dune</t>
        </is>
      </c>
      <c r="B76" s="23" t="n">
        <v>0.47</v>
      </c>
      <c r="C76" s="11" t="n">
        <v>1.62</v>
      </c>
      <c r="D76" s="11">
        <f>C76*$B$1</f>
        <v/>
      </c>
      <c r="E76" s="12">
        <f>C76-D76</f>
        <v/>
      </c>
      <c r="F76" s="19">
        <f>E76-B76</f>
        <v/>
      </c>
      <c r="G76" s="21">
        <f>IF(B76=0,"",F76/B76)</f>
        <v/>
      </c>
      <c r="H76" s="13" t="inlineStr">
        <is>
          <t>https://csfloat.com/item/947247986092674698</t>
        </is>
      </c>
    </row>
    <row r="77" ht="19.5" customHeight="1" s="49">
      <c r="A77" s="6" t="inlineStr">
        <is>
          <t>MAG-7 | Storm</t>
        </is>
      </c>
      <c r="B77" s="22" t="n">
        <v>0.03</v>
      </c>
      <c r="C77" s="7" t="n">
        <v>1</v>
      </c>
      <c r="D77" s="7">
        <f>C77*$B$1</f>
        <v/>
      </c>
      <c r="E77" s="8">
        <f>C77-D77</f>
        <v/>
      </c>
      <c r="F77" s="18">
        <f>E77-B77</f>
        <v/>
      </c>
      <c r="G77" s="20">
        <f>IF(B77=0,"",F77/B77)</f>
        <v/>
      </c>
      <c r="H77" s="9" t="inlineStr">
        <is>
          <t>https://csfloat.com/item/947250033932240553</t>
        </is>
      </c>
    </row>
    <row r="78" ht="19.5" customHeight="1" s="49">
      <c r="A78" s="10" t="inlineStr">
        <is>
          <t>Sawed-Off | Sage Spray</t>
        </is>
      </c>
      <c r="B78" s="23" t="n">
        <v>0.18</v>
      </c>
      <c r="C78" s="11" t="n">
        <v>1.1</v>
      </c>
      <c r="D78" s="11">
        <f>C78*$B$1</f>
        <v/>
      </c>
      <c r="E78" s="12">
        <f>C78-D78</f>
        <v/>
      </c>
      <c r="F78" s="19">
        <f>E78-B78</f>
        <v/>
      </c>
      <c r="G78" s="21">
        <f>IF(B78=0,"",F78/B78)</f>
        <v/>
      </c>
      <c r="H78" s="13" t="inlineStr">
        <is>
          <t>https://csfloat.com/item/947250750759764219</t>
        </is>
      </c>
    </row>
    <row r="79" ht="19.5" customHeight="1" s="49">
      <c r="A79" s="6" t="inlineStr">
        <is>
          <t>UMP-45 | Urban DDPAT</t>
        </is>
      </c>
      <c r="B79" s="22" t="n">
        <v>0.17</v>
      </c>
      <c r="C79" s="7" t="n">
        <v>0.6</v>
      </c>
      <c r="D79" s="7">
        <f>C79*$B$1</f>
        <v/>
      </c>
      <c r="E79" s="8">
        <f>C79-D79</f>
        <v/>
      </c>
      <c r="F79" s="18">
        <f>E79-B79</f>
        <v/>
      </c>
      <c r="G79" s="20">
        <f>IF(B79=0,"",F79/B79)</f>
        <v/>
      </c>
      <c r="H79" s="9" t="inlineStr">
        <is>
          <t>https://csfloat.com/item/946398370040253205</t>
        </is>
      </c>
    </row>
    <row r="80" ht="19.5" customHeight="1" s="49">
      <c r="A80" s="10" t="inlineStr">
        <is>
          <t>AUG | Colony</t>
        </is>
      </c>
      <c r="B80" s="23" t="n">
        <v>0.27</v>
      </c>
      <c r="C80" s="11" t="n">
        <v>0.75</v>
      </c>
      <c r="D80" s="11">
        <f>C80*$B$1</f>
        <v/>
      </c>
      <c r="E80" s="12">
        <f>C80-D80</f>
        <v/>
      </c>
      <c r="F80" s="19">
        <f>E80-B80</f>
        <v/>
      </c>
      <c r="G80" s="21">
        <f>IF(B80=0,"",F80/B80)</f>
        <v/>
      </c>
      <c r="H80" s="13" t="inlineStr">
        <is>
          <t>https://csfloat.com/item/947801619670633657</t>
        </is>
      </c>
    </row>
    <row r="81" ht="19.5" customHeight="1" s="49">
      <c r="A81" s="6" t="inlineStr">
        <is>
          <t>Nova | Polar Mesh</t>
        </is>
      </c>
      <c r="B81" s="22" t="n">
        <v>0.29</v>
      </c>
      <c r="C81" s="7" t="n">
        <v>0.7</v>
      </c>
      <c r="D81" s="7">
        <f>C81*$B$1</f>
        <v/>
      </c>
      <c r="E81" s="8">
        <f>C81-D81</f>
        <v/>
      </c>
      <c r="F81" s="18">
        <f>E81-B81</f>
        <v/>
      </c>
      <c r="G81" s="20">
        <f>IF(B81=0,"",F81/B81)</f>
        <v/>
      </c>
      <c r="H81" s="9" t="inlineStr">
        <is>
          <t>https://csfloat.com/item/947801616512322722</t>
        </is>
      </c>
    </row>
    <row r="82" ht="19.5" customHeight="1" s="49">
      <c r="A82" s="10" t="inlineStr">
        <is>
          <t>M249 | Contrast Spray</t>
        </is>
      </c>
      <c r="B82" s="23" t="n">
        <v>0.2</v>
      </c>
      <c r="C82" s="11" t="n">
        <v>2</v>
      </c>
      <c r="D82" s="11">
        <f>C82*$B$1</f>
        <v/>
      </c>
      <c r="E82" s="12">
        <f>C82-D82</f>
        <v/>
      </c>
      <c r="F82" s="19">
        <f>E82-B82</f>
        <v/>
      </c>
      <c r="G82" s="21">
        <f>IF(B82=0,"",F82/B82)</f>
        <v/>
      </c>
      <c r="H82" s="13" t="inlineStr">
        <is>
          <t>https://csfloat.com/item/947480692823034498</t>
        </is>
      </c>
    </row>
    <row r="83" ht="19.5" customHeight="1" s="49">
      <c r="A83" s="6" t="inlineStr">
        <is>
          <t>MAG-7 | Sand Dune</t>
        </is>
      </c>
      <c r="B83" s="22" t="n">
        <v>0.44</v>
      </c>
      <c r="C83" s="7" t="n">
        <v>8.1</v>
      </c>
      <c r="D83" s="7">
        <f>C83*$B$1</f>
        <v/>
      </c>
      <c r="E83" s="8">
        <f>C83-D83</f>
        <v/>
      </c>
      <c r="F83" s="18">
        <f>E83-B83</f>
        <v/>
      </c>
      <c r="G83" s="20">
        <f>IF(B83=0,"",F83/B83)</f>
        <v/>
      </c>
      <c r="H83" s="9" t="inlineStr">
        <is>
          <t>https://csfloat.com/item/947509610745562358</t>
        </is>
      </c>
    </row>
    <row r="84" ht="19.5" customHeight="1" s="49">
      <c r="A84" s="10" t="inlineStr">
        <is>
          <t>PP-Bizon | Irradiated Alert</t>
        </is>
      </c>
      <c r="B84" s="23" t="n">
        <v>3.52</v>
      </c>
      <c r="C84" s="11" t="n">
        <v>4.45</v>
      </c>
      <c r="D84" s="11">
        <f>C84*$B$1</f>
        <v/>
      </c>
      <c r="E84" s="12">
        <f>C84-D84</f>
        <v/>
      </c>
      <c r="F84" s="19">
        <f>E84-B84</f>
        <v/>
      </c>
      <c r="G84" s="21">
        <f>IF(B84=0,"",F84/B84)</f>
        <v/>
      </c>
      <c r="H84" s="13" t="inlineStr">
        <is>
          <t>https://csfloat.com/item/947623786696542937</t>
        </is>
      </c>
    </row>
    <row r="85" ht="19.5" customHeight="1" s="49">
      <c r="A85" s="6" t="inlineStr">
        <is>
          <t>Negev | Nuclear Waste</t>
        </is>
      </c>
      <c r="B85" s="22" t="n">
        <v>1.28</v>
      </c>
      <c r="C85" s="7" t="n">
        <v>12.59</v>
      </c>
      <c r="D85" s="7">
        <f>C85*$B$1</f>
        <v/>
      </c>
      <c r="E85" s="8">
        <f>C85-D85</f>
        <v/>
      </c>
      <c r="F85" s="18">
        <f>E85-B85</f>
        <v/>
      </c>
      <c r="G85" s="20">
        <f>IF(B85=0,"",F85/B85)</f>
        <v/>
      </c>
      <c r="H85" s="9" t="inlineStr">
        <is>
          <t>https://csfloat.com/item/947886262558262966</t>
        </is>
      </c>
    </row>
    <row r="86" ht="19.5" customHeight="1" s="49">
      <c r="A86" s="10" t="inlineStr">
        <is>
          <t>PP-Bizon | Urban Dashed</t>
        </is>
      </c>
      <c r="B86" s="23" t="n">
        <v>1</v>
      </c>
      <c r="C86" s="11" t="n">
        <v>2.4</v>
      </c>
      <c r="D86" s="11">
        <f>C86*$B$1</f>
        <v/>
      </c>
      <c r="E86" s="12">
        <f>C86-D86</f>
        <v/>
      </c>
      <c r="F86" s="19">
        <f>E86-B86</f>
        <v/>
      </c>
      <c r="G86" s="21">
        <f>IF(B86=0,"",F86/B86)</f>
        <v/>
      </c>
      <c r="H86" s="13" t="inlineStr">
        <is>
          <t>https://csfloat.com/item/948001098961128067</t>
        </is>
      </c>
    </row>
    <row r="87" ht="19.5" customHeight="1" s="49">
      <c r="A87" s="6" t="inlineStr">
        <is>
          <t>P2000 | Grassland</t>
        </is>
      </c>
      <c r="B87" s="22" t="n">
        <v>0.14</v>
      </c>
      <c r="C87" s="7" t="n">
        <v>1.5</v>
      </c>
      <c r="D87" s="7">
        <f>C87*$B$1</f>
        <v/>
      </c>
      <c r="E87" s="8">
        <f>C87-D87</f>
        <v/>
      </c>
      <c r="F87" s="18">
        <f>E87-B87</f>
        <v/>
      </c>
      <c r="G87" s="20">
        <f>IF(B87=0,"",F87/B87)</f>
        <v/>
      </c>
      <c r="H87" s="9" t="inlineStr">
        <is>
          <t>https://csfloat.com/item/948004501737047119</t>
        </is>
      </c>
    </row>
    <row r="88" ht="19.5" customHeight="1" s="49">
      <c r="A88" s="10" t="inlineStr">
        <is>
          <t>P250 | Facility Draft (Traded PNL)</t>
        </is>
      </c>
      <c r="B88" s="23" t="n">
        <v>12.1</v>
      </c>
      <c r="C88" s="11" t="n">
        <v>20.89</v>
      </c>
      <c r="D88" s="11">
        <f>C88*$B$1</f>
        <v/>
      </c>
      <c r="E88" s="12">
        <f>C88-D88</f>
        <v/>
      </c>
      <c r="F88" s="19">
        <f>E88-B88</f>
        <v/>
      </c>
      <c r="G88" s="21">
        <f>IF(B88=0,"",F88/B88)</f>
        <v/>
      </c>
      <c r="H88" s="13" t="inlineStr">
        <is>
          <t>https://csfloat.com/item/943834924299976980</t>
        </is>
      </c>
    </row>
    <row r="89" ht="19.5" customHeight="1" s="49">
      <c r="A89" s="6" t="inlineStr">
        <is>
          <t>UMP-45 | Facility Dark</t>
        </is>
      </c>
      <c r="B89" s="22" t="n">
        <v>4.2</v>
      </c>
      <c r="C89" s="7" t="n">
        <v>20.89</v>
      </c>
      <c r="D89" s="7">
        <f>C89*$B$1</f>
        <v/>
      </c>
      <c r="E89" s="8">
        <f>C89-D89</f>
        <v/>
      </c>
      <c r="F89" s="18">
        <f>E89-B89</f>
        <v/>
      </c>
      <c r="G89" s="20">
        <f>IF(B89=0,"",F89/B89)</f>
        <v/>
      </c>
      <c r="H89" s="9" t="inlineStr">
        <is>
          <t>https://csfloat.com/item/942078473286058798</t>
        </is>
      </c>
    </row>
    <row r="90" ht="19.5" customHeight="1" s="49">
      <c r="A90" s="10" t="inlineStr">
        <is>
          <t>M4A1-S | Black Lotus</t>
        </is>
      </c>
      <c r="B90" s="23" t="n">
        <v>7.59</v>
      </c>
      <c r="C90" s="11" t="n">
        <v>21.5</v>
      </c>
      <c r="D90" s="11">
        <f>C90*$B$1</f>
        <v/>
      </c>
      <c r="E90" s="12">
        <f>C90-D90</f>
        <v/>
      </c>
      <c r="F90" s="19">
        <f>E90-B90</f>
        <v/>
      </c>
      <c r="G90" s="21">
        <f>IF(B90=0,"",F90/B90)</f>
        <v/>
      </c>
      <c r="H90" s="13" t="inlineStr">
        <is>
          <t>https://csfloat.com/item/948080767446157432</t>
        </is>
      </c>
    </row>
    <row r="91" ht="19.5" customHeight="1" s="49">
      <c r="A91" s="6" t="inlineStr">
        <is>
          <t>G3SG1 | Desert Storm</t>
        </is>
      </c>
      <c r="B91" s="22" t="n">
        <v>0.18</v>
      </c>
      <c r="C91" s="7" t="n">
        <v>2.8</v>
      </c>
      <c r="D91" s="7">
        <f>C91*$B$1</f>
        <v/>
      </c>
      <c r="E91" s="8">
        <f>C91-D91</f>
        <v/>
      </c>
      <c r="F91" s="18">
        <f>E91-B91</f>
        <v/>
      </c>
      <c r="G91" s="20">
        <f>IF(B91=0,"",F91/B91)</f>
        <v/>
      </c>
      <c r="H91" s="9" t="inlineStr">
        <is>
          <t>https://csfloat.com/item/948189740736316865</t>
        </is>
      </c>
    </row>
    <row r="92" ht="19.5" customHeight="1" s="49">
      <c r="A92" s="10" t="inlineStr">
        <is>
          <t>P250 | Bone Mask</t>
        </is>
      </c>
      <c r="B92" s="23" t="n">
        <v>0.29</v>
      </c>
      <c r="C92" s="11" t="n">
        <v>0.8</v>
      </c>
      <c r="D92" s="11">
        <f>C92*$B$1</f>
        <v/>
      </c>
      <c r="E92" s="12">
        <f>C92-D92</f>
        <v/>
      </c>
      <c r="F92" s="19">
        <f>E92-B92</f>
        <v/>
      </c>
      <c r="G92" s="21">
        <f>IF(B92=0,"",F92/B92)</f>
        <v/>
      </c>
      <c r="H92" s="13" t="inlineStr">
        <is>
          <t>https://csfloat.com/item/948537692826767343</t>
        </is>
      </c>
    </row>
    <row r="93" ht="19.5" customHeight="1" s="49">
      <c r="A93" s="6" t="inlineStr">
        <is>
          <t>MP7 | Gunsmoke</t>
        </is>
      </c>
      <c r="B93" s="22" t="n">
        <v>0.79</v>
      </c>
      <c r="C93" s="7" t="n">
        <v>15</v>
      </c>
      <c r="D93" s="7">
        <f>C93*$B$1</f>
        <v/>
      </c>
      <c r="E93" s="8">
        <f>C93-D93</f>
        <v/>
      </c>
      <c r="F93" s="18">
        <f>E93-B93</f>
        <v/>
      </c>
      <c r="G93" s="20">
        <f>IF(B93=0,"",F93/B93)</f>
        <v/>
      </c>
      <c r="H93" s="9" t="inlineStr">
        <is>
          <t>https://csfloat.com/item/948250348336841644</t>
        </is>
      </c>
    </row>
    <row r="94" ht="19.5" customHeight="1" s="49">
      <c r="A94" s="10" t="inlineStr">
        <is>
          <t>G3SG1 | Desert Storm</t>
        </is>
      </c>
      <c r="B94" s="23" t="n">
        <v>0.61</v>
      </c>
      <c r="C94" s="11" t="n">
        <v>1.5</v>
      </c>
      <c r="D94" s="11">
        <f>C94*$B$1</f>
        <v/>
      </c>
      <c r="E94" s="12">
        <f>C94-D94</f>
        <v/>
      </c>
      <c r="F94" s="19">
        <f>E94-B94</f>
        <v/>
      </c>
      <c r="G94" s="21">
        <f>IF(B94=0,"",F94/B94)</f>
        <v/>
      </c>
      <c r="H94" s="13" t="inlineStr">
        <is>
          <t>https://csfloat.com/item/948263132147614308</t>
        </is>
      </c>
    </row>
    <row r="95" ht="19.5" customHeight="1" s="49">
      <c r="A95" s="6" t="inlineStr">
        <is>
          <t>MAG-7 | Sand Dune</t>
        </is>
      </c>
      <c r="B95" s="22" t="n">
        <v>0.28</v>
      </c>
      <c r="C95" s="7" t="n">
        <v>3.5</v>
      </c>
      <c r="D95" s="7">
        <f>C95*$B$1</f>
        <v/>
      </c>
      <c r="E95" s="8">
        <f>C95-D95</f>
        <v/>
      </c>
      <c r="F95" s="18">
        <f>E95-B95</f>
        <v/>
      </c>
      <c r="G95" s="20">
        <f>IF(B95=0,"",F95/B95)</f>
        <v/>
      </c>
      <c r="H95" s="9" t="inlineStr">
        <is>
          <t>https://csfloat.com/item/948352809093434930</t>
        </is>
      </c>
    </row>
    <row r="96" ht="19.5" customHeight="1" s="49">
      <c r="A96" s="10" t="inlineStr">
        <is>
          <t>UMP-45 | Scorched</t>
        </is>
      </c>
      <c r="B96" s="23" t="n">
        <v>0.03</v>
      </c>
      <c r="C96" s="11" t="n">
        <v>3</v>
      </c>
      <c r="D96" s="11">
        <f>C96*$B$1</f>
        <v/>
      </c>
      <c r="E96" s="12">
        <f>C96-D96</f>
        <v/>
      </c>
      <c r="F96" s="19">
        <f>E96-B96</f>
        <v/>
      </c>
      <c r="G96" s="21">
        <f>IF(B96=0,"",F96/B96)</f>
        <v/>
      </c>
      <c r="H96" s="13" t="inlineStr">
        <is>
          <t>https://csfloat.com/item/948551240596456468</t>
        </is>
      </c>
    </row>
    <row r="97" ht="19.5" customHeight="1" s="49">
      <c r="A97" s="6" t="inlineStr">
        <is>
          <t>Sawed-Off | Irradiated Alert</t>
        </is>
      </c>
      <c r="B97" s="22" t="n">
        <v>2.59</v>
      </c>
      <c r="C97" s="7" t="n">
        <v>3.9</v>
      </c>
      <c r="D97" s="7">
        <f>C97*$B$1</f>
        <v/>
      </c>
      <c r="E97" s="8">
        <f>C97-D97</f>
        <v/>
      </c>
      <c r="F97" s="18">
        <f>E97-B97</f>
        <v/>
      </c>
      <c r="G97" s="20">
        <f>IF(B97=0,"",F97/B97)</f>
        <v/>
      </c>
      <c r="H97" s="9" t="inlineStr">
        <is>
          <t>https://csfloat.com/item/948756641581499554</t>
        </is>
      </c>
    </row>
    <row r="98" ht="19.5" customHeight="1" s="49">
      <c r="A98" s="10" t="inlineStr">
        <is>
          <t>MAG-7 | Storm</t>
        </is>
      </c>
      <c r="B98" s="23" t="n">
        <v>1.52</v>
      </c>
      <c r="C98" s="11" t="n">
        <v>2.8</v>
      </c>
      <c r="D98" s="11">
        <f>C98*$B$1</f>
        <v/>
      </c>
      <c r="E98" s="12">
        <f>C98-D98</f>
        <v/>
      </c>
      <c r="F98" s="19">
        <f>E98-B98</f>
        <v/>
      </c>
      <c r="G98" s="21">
        <f>IF(B98=0,"",F98/B98)</f>
        <v/>
      </c>
      <c r="H98" s="13" t="inlineStr">
        <is>
          <t>https://csfloat.com/item/948757048600953841</t>
        </is>
      </c>
    </row>
    <row r="99" ht="19.5" customHeight="1" s="49">
      <c r="A99" s="6" t="inlineStr">
        <is>
          <t>Nova | Predator</t>
        </is>
      </c>
      <c r="B99" s="22" t="n">
        <v>7.2</v>
      </c>
      <c r="C99" s="7" t="n">
        <v>11</v>
      </c>
      <c r="D99" s="7">
        <f>C99*$B$1</f>
        <v/>
      </c>
      <c r="E99" s="8">
        <f>C99-D99</f>
        <v/>
      </c>
      <c r="F99" s="18">
        <f>E99-B99</f>
        <v/>
      </c>
      <c r="G99" s="20">
        <f>IF(B99=0,"",F99/B99)</f>
        <v/>
      </c>
      <c r="H99" s="9" t="inlineStr">
        <is>
          <t>https://csfloat.com/item/948789243306707806</t>
        </is>
      </c>
    </row>
    <row r="100" ht="19.5" customHeight="1" s="49">
      <c r="A100" s="10" t="inlineStr">
        <is>
          <t>MAG-7 | Storm</t>
        </is>
      </c>
      <c r="B100" s="23" t="n">
        <v>0.22</v>
      </c>
      <c r="C100" s="11" t="n">
        <v>2.6</v>
      </c>
      <c r="D100" s="11">
        <f>C100*$B$1</f>
        <v/>
      </c>
      <c r="E100" s="12">
        <f>C100-D100</f>
        <v/>
      </c>
      <c r="F100" s="19">
        <f>E100-B100</f>
        <v/>
      </c>
      <c r="G100" s="21">
        <f>IF(B100=0,"",F100/B100)</f>
        <v/>
      </c>
      <c r="H100" s="13" t="inlineStr">
        <is>
          <t>https://csfloat.com/item/949136280883693890</t>
        </is>
      </c>
    </row>
    <row r="101" ht="19.5" customHeight="1" s="49">
      <c r="A101" s="6" t="inlineStr">
        <is>
          <t>G3SG1 | Desert Storm</t>
        </is>
      </c>
      <c r="B101" s="22" t="n">
        <v>0.15</v>
      </c>
      <c r="C101" s="7" t="n">
        <v>2.7</v>
      </c>
      <c r="D101" s="7">
        <f>C101*$B$1</f>
        <v/>
      </c>
      <c r="E101" s="8">
        <f>C101-D101</f>
        <v/>
      </c>
      <c r="F101" s="18">
        <f>E101-B101</f>
        <v/>
      </c>
      <c r="G101" s="20">
        <f>IF(B101=0,"",F101/B101)</f>
        <v/>
      </c>
      <c r="H101" s="9" t="inlineStr">
        <is>
          <t>https://csfloat.com/item/949556319088672984</t>
        </is>
      </c>
    </row>
    <row r="102" ht="19.5" customHeight="1" s="49">
      <c r="A102" s="10" t="inlineStr">
        <is>
          <t>Glock-18 | Groundwater</t>
        </is>
      </c>
      <c r="B102" s="23" t="n">
        <v>48.3</v>
      </c>
      <c r="C102" s="11" t="n">
        <v>62</v>
      </c>
      <c r="D102" s="11">
        <f>C102*$B$1</f>
        <v/>
      </c>
      <c r="E102" s="12">
        <f>C102-D102</f>
        <v/>
      </c>
      <c r="F102" s="19">
        <f>E102-B102</f>
        <v/>
      </c>
      <c r="G102" s="21">
        <f>IF(B102=0,"",F102/B102)</f>
        <v/>
      </c>
      <c r="H102" s="13" t="inlineStr">
        <is>
          <t>https://csfloat.com/item/949681923385590936</t>
        </is>
      </c>
    </row>
    <row r="103" ht="19.5" customHeight="1" s="49">
      <c r="A103" s="6" t="inlineStr">
        <is>
          <t>P90 | Storm</t>
        </is>
      </c>
      <c r="B103" s="22" t="n">
        <v>0.92</v>
      </c>
      <c r="C103" s="7" t="n">
        <v>2.45</v>
      </c>
      <c r="D103" s="7">
        <f>C103*$B$1</f>
        <v/>
      </c>
      <c r="E103" s="8">
        <f>C103-D103</f>
        <v/>
      </c>
      <c r="F103" s="18">
        <f>E103-B103</f>
        <v/>
      </c>
      <c r="G103" s="20">
        <f>IF(B103=0,"",F103/B103)</f>
        <v/>
      </c>
      <c r="H103" s="9" t="inlineStr">
        <is>
          <t>https://csfloat.com/item/949904388057599616</t>
        </is>
      </c>
    </row>
    <row r="104" ht="19.5" customHeight="1" s="49">
      <c r="A104" s="10" t="inlineStr">
        <is>
          <t>Sawed-Off | Sage Spray</t>
        </is>
      </c>
      <c r="B104" s="23" t="n">
        <v>0.29</v>
      </c>
      <c r="C104" s="11" t="n">
        <v>0.7</v>
      </c>
      <c r="D104" s="11">
        <f>C104*$B$1</f>
        <v/>
      </c>
      <c r="E104" s="12">
        <f>C104-D104</f>
        <v/>
      </c>
      <c r="F104" s="19">
        <f>E104-B104</f>
        <v/>
      </c>
      <c r="G104" s="21">
        <f>IF(B104=0,"",F104/B104)</f>
        <v/>
      </c>
      <c r="H104" s="13" t="inlineStr">
        <is>
          <t>https://csfloat.com/item/948170488490887098</t>
        </is>
      </c>
    </row>
    <row r="105" ht="19.5" customHeight="1" s="49">
      <c r="A105" s="6" t="inlineStr">
        <is>
          <t>SCAR-20 | Storm</t>
        </is>
      </c>
      <c r="B105" s="22" t="n">
        <v>2.59</v>
      </c>
      <c r="C105" s="7" t="n">
        <v>3.2</v>
      </c>
      <c r="D105" s="7">
        <f>C105*$B$1</f>
        <v/>
      </c>
      <c r="E105" s="8">
        <f>C105-D105</f>
        <v/>
      </c>
      <c r="F105" s="18">
        <f>E105-B105</f>
        <v/>
      </c>
      <c r="G105" s="20">
        <f>IF(B105=0,"",F105/B105)</f>
        <v/>
      </c>
      <c r="H105" s="9" t="inlineStr">
        <is>
          <t>https://csfloat.com/item/950030596619502555</t>
        </is>
      </c>
    </row>
    <row r="106" ht="19.5" customHeight="1" s="49">
      <c r="A106" s="10" t="inlineStr">
        <is>
          <t>MAG-7 | Sand Dune</t>
        </is>
      </c>
      <c r="B106" s="23" t="n">
        <v>0.34</v>
      </c>
      <c r="C106" s="11" t="n">
        <v>0.7</v>
      </c>
      <c r="D106" s="11">
        <f>C106*$B$1</f>
        <v/>
      </c>
      <c r="E106" s="12">
        <f>C106-D106</f>
        <v/>
      </c>
      <c r="F106" s="19">
        <f>E106-B106</f>
        <v/>
      </c>
      <c r="G106" s="21">
        <f>IF(B106=0,"",F106/B106)</f>
        <v/>
      </c>
      <c r="H106" s="13" t="inlineStr">
        <is>
          <t>https://csfloat.com/item/938779521153371608</t>
        </is>
      </c>
    </row>
    <row r="107" ht="19.5" customHeight="1" s="49">
      <c r="A107" s="6" t="inlineStr">
        <is>
          <t>MAG-7 | Sand Dune</t>
        </is>
      </c>
      <c r="B107" s="22" t="n">
        <v>2.59</v>
      </c>
      <c r="C107" s="7" t="n">
        <v>3.2</v>
      </c>
      <c r="D107" s="7">
        <f>C107*$B$1</f>
        <v/>
      </c>
      <c r="E107" s="8">
        <f>C107-D107</f>
        <v/>
      </c>
      <c r="F107" s="18">
        <f>E107-B107</f>
        <v/>
      </c>
      <c r="G107" s="20">
        <f>IF(B107=0,"",F107/B107)</f>
        <v/>
      </c>
      <c r="H107" s="9" t="inlineStr">
        <is>
          <t>https://csfloat.com/item/950118571462231173</t>
        </is>
      </c>
    </row>
    <row r="108" ht="19.5" customHeight="1" s="49">
      <c r="A108" s="10" t="inlineStr">
        <is>
          <t>SSG 08 | Detour</t>
        </is>
      </c>
      <c r="B108" s="23" t="n">
        <v>5.28</v>
      </c>
      <c r="C108" s="11" t="n">
        <v>18</v>
      </c>
      <c r="D108" s="11">
        <f>C108*$B$1</f>
        <v/>
      </c>
      <c r="E108" s="12">
        <f>C108-D108</f>
        <v/>
      </c>
      <c r="F108" s="19">
        <f>E108-B108</f>
        <v/>
      </c>
      <c r="G108" s="21">
        <f>IF(B108=0,"",F108/B108)</f>
        <v/>
      </c>
      <c r="H108" s="13" t="inlineStr">
        <is>
          <t>https://csfloat.com/item/950179609591285199</t>
        </is>
      </c>
    </row>
    <row r="109" ht="19.5" customHeight="1" s="49">
      <c r="A109" s="6" t="inlineStr">
        <is>
          <t>MP9 | Sand Dashed</t>
        </is>
      </c>
      <c r="B109" s="22" t="n">
        <v>0.3</v>
      </c>
      <c r="C109" s="7" t="n">
        <v>2.3</v>
      </c>
      <c r="D109" s="7">
        <f>C109*$B$1</f>
        <v/>
      </c>
      <c r="E109" s="8">
        <f>C109-D109</f>
        <v/>
      </c>
      <c r="F109" s="18">
        <f>E109-B109</f>
        <v/>
      </c>
      <c r="G109" s="20">
        <f>IF(B109=0,"",F109/B109)</f>
        <v/>
      </c>
      <c r="H109" s="9" t="inlineStr">
        <is>
          <t>https://csfloat.com/item/950194285779748482</t>
        </is>
      </c>
    </row>
    <row r="110" ht="19.5" customHeight="1" s="49">
      <c r="A110" s="10" t="inlineStr">
        <is>
          <t>Sawed-Off | Irradiated Alert</t>
        </is>
      </c>
      <c r="B110" s="23" t="n">
        <v>0.91</v>
      </c>
      <c r="C110" s="11" t="n">
        <v>3.1</v>
      </c>
      <c r="D110" s="11">
        <f>C110*$B$1</f>
        <v/>
      </c>
      <c r="E110" s="12">
        <f>C110-D110</f>
        <v/>
      </c>
      <c r="F110" s="19">
        <f>E110-B110</f>
        <v/>
      </c>
      <c r="G110" s="21">
        <f>IF(B110=0,"",F110/B110)</f>
        <v/>
      </c>
      <c r="H110" s="13" t="inlineStr">
        <is>
          <t>https://csfloat.com/item/950408521852258761</t>
        </is>
      </c>
    </row>
    <row r="111" ht="19.5" customHeight="1" s="49">
      <c r="A111" s="6" t="inlineStr">
        <is>
          <t>Sawed-Off | Irradiated Alert</t>
        </is>
      </c>
      <c r="B111" s="22" t="n">
        <v>5</v>
      </c>
      <c r="C111" s="7" t="n">
        <v>14</v>
      </c>
      <c r="D111" s="7">
        <f>C111*$B$1</f>
        <v/>
      </c>
      <c r="E111" s="8">
        <f>C111-D111</f>
        <v/>
      </c>
      <c r="F111" s="18">
        <f>E111-B111</f>
        <v/>
      </c>
      <c r="G111" s="20">
        <f>IF(B111=0,"",F111/B111)</f>
        <v/>
      </c>
      <c r="H111" s="9" t="inlineStr">
        <is>
          <t>https://csfloat.com/item/950436599865411484</t>
        </is>
      </c>
    </row>
    <row r="112" ht="19.5" customHeight="1" s="49">
      <c r="A112" s="10" t="inlineStr">
        <is>
          <t>Five-SeveN | Contractor</t>
        </is>
      </c>
      <c r="B112" s="23" t="n">
        <v>1.12</v>
      </c>
      <c r="C112" s="11" t="n">
        <v>4.8</v>
      </c>
      <c r="D112" s="11">
        <f>C112*$B$1</f>
        <v/>
      </c>
      <c r="E112" s="12">
        <f>C112-D112</f>
        <v/>
      </c>
      <c r="F112" s="19">
        <f>E112-B112</f>
        <v/>
      </c>
      <c r="G112" s="21">
        <f>IF(B112=0,"",F112/B112)</f>
        <v/>
      </c>
      <c r="H112" s="13" t="inlineStr">
        <is>
          <t>https://csfloat.com/item/950436803373041301</t>
        </is>
      </c>
    </row>
    <row r="113" ht="19.5" customHeight="1" s="49">
      <c r="A113" s="6" t="inlineStr">
        <is>
          <t>MAG-7 | Sand Dune</t>
        </is>
      </c>
      <c r="B113" s="22" t="n">
        <v>0.5</v>
      </c>
      <c r="C113" s="7" t="n">
        <v>0.7</v>
      </c>
      <c r="D113" s="7">
        <f>C113*$B$1</f>
        <v/>
      </c>
      <c r="E113" s="8">
        <f>C113-D113</f>
        <v/>
      </c>
      <c r="F113" s="18">
        <f>E113-B113</f>
        <v/>
      </c>
      <c r="G113" s="20">
        <f>IF(B113=0,"",F113/B113)</f>
        <v/>
      </c>
      <c r="H113" s="9" t="inlineStr">
        <is>
          <t>https://csfloat.com/item/946106391041543906</t>
        </is>
      </c>
    </row>
    <row r="114" ht="19.5" customHeight="1" s="49">
      <c r="A114" s="10" t="inlineStr">
        <is>
          <t>Nova | Walnut</t>
        </is>
      </c>
      <c r="B114" s="23" t="n">
        <v>0.68</v>
      </c>
      <c r="C114" s="11" t="n">
        <v>4.3</v>
      </c>
      <c r="D114" s="11">
        <f>C114*$B$1</f>
        <v/>
      </c>
      <c r="E114" s="12">
        <f>C114-D114</f>
        <v/>
      </c>
      <c r="F114" s="19">
        <f>E114-B114</f>
        <v/>
      </c>
      <c r="G114" s="21">
        <f>IF(B114=0,"",F114/B114)</f>
        <v/>
      </c>
      <c r="H114" s="13" t="inlineStr">
        <is>
          <t>https://csfloat.com/item/950688931496724372</t>
        </is>
      </c>
    </row>
    <row r="115" ht="19.5" customHeight="1" s="49">
      <c r="A115" s="6" t="inlineStr">
        <is>
          <t>Negev | Bulkhead</t>
        </is>
      </c>
      <c r="B115" s="22" t="n">
        <v>0.8</v>
      </c>
      <c r="C115" s="7" t="n">
        <v>2.15</v>
      </c>
      <c r="D115" s="7">
        <f>C115*$B$1</f>
        <v/>
      </c>
      <c r="E115" s="8">
        <f>C115-D115</f>
        <v/>
      </c>
      <c r="F115" s="18">
        <f>E115-B115</f>
        <v/>
      </c>
      <c r="G115" s="20">
        <f>IF(B115=0,"",F115/B115)</f>
        <v/>
      </c>
      <c r="H115" s="9" t="inlineStr">
        <is>
          <t>https://csfloat.com/item/950705058616576899</t>
        </is>
      </c>
    </row>
    <row r="116" ht="19.5" customHeight="1" s="49">
      <c r="A116" s="10" t="inlineStr">
        <is>
          <t>M249 | Contrast Spray</t>
        </is>
      </c>
      <c r="B116" s="23" t="n">
        <v>0.03</v>
      </c>
      <c r="C116" s="11" t="n">
        <v>0.75</v>
      </c>
      <c r="D116" s="11">
        <f>C116*$B$1</f>
        <v/>
      </c>
      <c r="E116" s="12">
        <f>C116-D116</f>
        <v/>
      </c>
      <c r="F116" s="19">
        <f>E116-B116</f>
        <v/>
      </c>
      <c r="G116" s="21">
        <f>IF(B116=0,"",F116/B116)</f>
        <v/>
      </c>
      <c r="H116" s="13" t="inlineStr">
        <is>
          <t>https://csfloat.com/item/948911720125040947</t>
        </is>
      </c>
    </row>
    <row r="117" ht="19.5" customHeight="1" s="49">
      <c r="A117" s="6" t="inlineStr">
        <is>
          <t>MAG-7 | Sand Dune</t>
        </is>
      </c>
      <c r="B117" s="22" t="n">
        <v>1.99</v>
      </c>
      <c r="C117" s="7" t="n">
        <v>3.5</v>
      </c>
      <c r="D117" s="7">
        <f>C117*$B$1</f>
        <v/>
      </c>
      <c r="E117" s="8">
        <f>C117-D117</f>
        <v/>
      </c>
      <c r="F117" s="18">
        <f>E117-B117</f>
        <v/>
      </c>
      <c r="G117" s="20">
        <f>IF(B117=0,"",F117/B117)</f>
        <v/>
      </c>
      <c r="H117" s="9" t="inlineStr">
        <is>
          <t>https://csfloat.com/item/950769536070714926</t>
        </is>
      </c>
    </row>
    <row r="118" ht="19.5" customHeight="1" s="49">
      <c r="A118" s="10" t="inlineStr">
        <is>
          <t>MAC-10 | Indigo</t>
        </is>
      </c>
      <c r="B118" s="23" t="n">
        <v>2.05</v>
      </c>
      <c r="C118" s="11" t="n">
        <v>6</v>
      </c>
      <c r="D118" s="11">
        <f>C118*$B$1</f>
        <v/>
      </c>
      <c r="E118" s="12">
        <f>C118-D118</f>
        <v/>
      </c>
      <c r="F118" s="19">
        <f>E118-B118</f>
        <v/>
      </c>
      <c r="G118" s="21">
        <f>IF(B118=0,"",F118/B118)</f>
        <v/>
      </c>
      <c r="H118" s="13" t="inlineStr">
        <is>
          <t>https://csfloat.com/item/950769725267382049</t>
        </is>
      </c>
    </row>
    <row r="119" ht="19.5" customHeight="1" s="49">
      <c r="A119" s="6" t="inlineStr">
        <is>
          <t>MAG-7 | Sand Dune</t>
        </is>
      </c>
      <c r="B119" s="22" t="n">
        <v>0.34</v>
      </c>
      <c r="C119" s="7" t="n">
        <v>0.7</v>
      </c>
      <c r="D119" s="7">
        <f>C119*$B$1</f>
        <v/>
      </c>
      <c r="E119" s="8">
        <f>C119-D119</f>
        <v/>
      </c>
      <c r="F119" s="18">
        <f>E119-B119</f>
        <v/>
      </c>
      <c r="G119" s="20">
        <f>IF(B119=0,"",F119/B119)</f>
        <v/>
      </c>
      <c r="H119" s="9" t="inlineStr">
        <is>
          <t>https://csfloat.com/item/938779519496621493</t>
        </is>
      </c>
    </row>
    <row r="120" ht="19.5" customHeight="1" s="49">
      <c r="A120" s="10" t="inlineStr">
        <is>
          <t>PP-Bizon | Facility Sketch</t>
        </is>
      </c>
      <c r="B120" s="23" t="n">
        <v>13.01</v>
      </c>
      <c r="C120" s="11" t="n">
        <v>16</v>
      </c>
      <c r="D120" s="11">
        <f>C120*$B$1</f>
        <v/>
      </c>
      <c r="E120" s="12">
        <f>C120-D120</f>
        <v/>
      </c>
      <c r="F120" s="19">
        <f>E120-B120</f>
        <v/>
      </c>
      <c r="G120" s="21">
        <f>IF(B120=0,"",F120/B120)</f>
        <v/>
      </c>
      <c r="H120" s="13" t="inlineStr">
        <is>
          <t>https://csfloat.com/item/951102162673467718</t>
        </is>
      </c>
    </row>
    <row r="121" ht="19.5" customHeight="1" s="49">
      <c r="A121" s="6" t="inlineStr">
        <is>
          <t>M4A1-S | Black Lotus</t>
        </is>
      </c>
      <c r="B121" s="22" t="n">
        <v>8.58</v>
      </c>
      <c r="C121" s="7" t="n">
        <v>22.5</v>
      </c>
      <c r="D121" s="7">
        <f>C121*$B$1</f>
        <v/>
      </c>
      <c r="E121" s="8">
        <f>C121-D121</f>
        <v/>
      </c>
      <c r="F121" s="18">
        <f>E121-B121</f>
        <v/>
      </c>
      <c r="G121" s="20">
        <f>IF(B121=0,"",F121/B121)</f>
        <v/>
      </c>
      <c r="H121" s="9" t="inlineStr">
        <is>
          <t>https://csfloat.com/item/951416906269722366</t>
        </is>
      </c>
    </row>
    <row r="122" ht="19.5" customHeight="1" s="49">
      <c r="A122" s="10" t="inlineStr">
        <is>
          <t>UMP-45 | Indigo</t>
        </is>
      </c>
      <c r="B122" s="23" t="n">
        <v>1.39</v>
      </c>
      <c r="C122" s="11" t="n">
        <v>3.2</v>
      </c>
      <c r="D122" s="11">
        <f>C122*$B$1</f>
        <v/>
      </c>
      <c r="E122" s="12">
        <f>C122-D122</f>
        <v/>
      </c>
      <c r="F122" s="19">
        <f>E122-B122</f>
        <v/>
      </c>
      <c r="G122" s="21">
        <f>IF(B122=0,"",F122/B122)</f>
        <v/>
      </c>
      <c r="H122" s="13" t="inlineStr">
        <is>
          <t>https://csfloat.com/item/951383126066725557</t>
        </is>
      </c>
    </row>
    <row r="123" ht="19.5" customHeight="1" s="49">
      <c r="A123" s="6" t="inlineStr">
        <is>
          <t>P250 | Bone Mask</t>
        </is>
      </c>
      <c r="B123" s="22" t="n">
        <v>0.25</v>
      </c>
      <c r="C123" s="7" t="n">
        <v>0.7</v>
      </c>
      <c r="D123" s="7">
        <f>C123*$B$1</f>
        <v/>
      </c>
      <c r="E123" s="8">
        <f>C123-D123</f>
        <v/>
      </c>
      <c r="F123" s="18">
        <f>E123-B123</f>
        <v/>
      </c>
      <c r="G123" s="20">
        <f>IF(B123=0,"",F123/B123)</f>
        <v/>
      </c>
      <c r="H123" s="9" t="inlineStr">
        <is>
          <t>https://csfloat.com/item/951800389328569363</t>
        </is>
      </c>
    </row>
    <row r="124" ht="19.5" customHeight="1" s="49">
      <c r="A124" s="10" t="inlineStr">
        <is>
          <t>MAG-7 | Storm</t>
        </is>
      </c>
      <c r="B124" s="23" t="n">
        <v>0.28</v>
      </c>
      <c r="C124" s="11" t="n">
        <v>0.7</v>
      </c>
      <c r="D124" s="11">
        <f>C124*$B$1</f>
        <v/>
      </c>
      <c r="E124" s="12">
        <f>C124-D124</f>
        <v/>
      </c>
      <c r="F124" s="19">
        <f>E124-B124</f>
        <v/>
      </c>
      <c r="G124" s="21">
        <f>IF(B124=0,"",F124/B124)</f>
        <v/>
      </c>
      <c r="H124" s="13" t="inlineStr">
        <is>
          <t>https://csfloat.com/item/947801644626742614</t>
        </is>
      </c>
    </row>
    <row r="125" ht="19.5" customHeight="1" s="49">
      <c r="A125" s="6" t="inlineStr">
        <is>
          <t>M249 | Contrast Spray</t>
        </is>
      </c>
      <c r="B125" s="22" t="n">
        <v>0.28</v>
      </c>
      <c r="C125" s="7" t="n">
        <v>0.7</v>
      </c>
      <c r="D125" s="7">
        <f>C125*$B$1</f>
        <v/>
      </c>
      <c r="E125" s="8">
        <f>C125-D125</f>
        <v/>
      </c>
      <c r="F125" s="18">
        <f>E125-B125</f>
        <v/>
      </c>
      <c r="G125" s="20">
        <f>IF(B125=0,"",F125/B125)</f>
        <v/>
      </c>
      <c r="H125" s="9" t="inlineStr">
        <is>
          <t>https://csfloat.com/item/948170489141004220</t>
        </is>
      </c>
    </row>
    <row r="126" ht="19.5" customHeight="1" s="49">
      <c r="A126" s="10" t="inlineStr">
        <is>
          <t>G3SG1 | Safari Mesh</t>
        </is>
      </c>
      <c r="B126" s="23" t="n">
        <v>0.51</v>
      </c>
      <c r="C126" s="11" t="n">
        <v>3.62</v>
      </c>
      <c r="D126" s="11">
        <f>C126*$B$1</f>
        <v/>
      </c>
      <c r="E126" s="12">
        <f>C126-D126</f>
        <v/>
      </c>
      <c r="F126" s="19">
        <f>E126-B126</f>
        <v/>
      </c>
      <c r="G126" s="21">
        <f>IF(B126=0,"",F126/B126)</f>
        <v/>
      </c>
      <c r="H126" s="13" t="inlineStr">
        <is>
          <t>https://csfloat.com/item/952878158233863637</t>
        </is>
      </c>
    </row>
    <row r="127" ht="19.5" customHeight="1" s="49">
      <c r="A127" s="6" t="inlineStr">
        <is>
          <t>MAG-7 | Rust Coat</t>
        </is>
      </c>
      <c r="B127" s="22" t="n">
        <v>0.03</v>
      </c>
      <c r="C127" s="7" t="n">
        <v>1</v>
      </c>
      <c r="D127" s="7">
        <f>C127*$B$1</f>
        <v/>
      </c>
      <c r="E127" s="8">
        <f>C127-D127</f>
        <v/>
      </c>
      <c r="F127" s="18">
        <f>E127-B127</f>
        <v/>
      </c>
      <c r="G127" s="20">
        <f>IF(B127=0,"",F127/B127)</f>
        <v/>
      </c>
      <c r="H127" s="9" t="inlineStr">
        <is>
          <t>https://csfloat.com/item/953256612414489672</t>
        </is>
      </c>
    </row>
    <row r="128" ht="19.5" customHeight="1" s="49">
      <c r="A128" s="10" t="inlineStr">
        <is>
          <t>MAG-7 | Sand Dune</t>
        </is>
      </c>
      <c r="B128" s="23" t="n">
        <v>0.48</v>
      </c>
      <c r="C128" s="11" t="n">
        <v>2.5</v>
      </c>
      <c r="D128" s="11">
        <f>C128*$B$1</f>
        <v/>
      </c>
      <c r="E128" s="12">
        <f>C128-D128</f>
        <v/>
      </c>
      <c r="F128" s="19">
        <f>E128-B128</f>
        <v/>
      </c>
      <c r="G128" s="21">
        <f>IF(B128=0,"",F128/B128)</f>
        <v/>
      </c>
      <c r="H128" s="13" t="inlineStr">
        <is>
          <t>https://csfloat.com/item/953287195467318179</t>
        </is>
      </c>
    </row>
    <row r="129" ht="19.5" customHeight="1" s="49">
      <c r="A129" s="6" t="inlineStr">
        <is>
          <t>Tec-9 | Groundwater</t>
        </is>
      </c>
      <c r="B129" s="22" t="n">
        <v>31.4</v>
      </c>
      <c r="C129" s="7" t="n">
        <v>47.99</v>
      </c>
      <c r="D129" s="7">
        <f>C129*$B$1</f>
        <v/>
      </c>
      <c r="E129" s="8">
        <f>C129-D129</f>
        <v/>
      </c>
      <c r="F129" s="18">
        <f>E129-B129</f>
        <v/>
      </c>
      <c r="G129" s="20">
        <f>IF(B129=0,"",F129/B129)</f>
        <v/>
      </c>
      <c r="H129" s="9" t="inlineStr">
        <is>
          <t>https://csfloat.com/item/953651714240677538</t>
        </is>
      </c>
    </row>
    <row r="130" ht="19.5" customHeight="1" s="49">
      <c r="A130" s="10" t="inlineStr">
        <is>
          <t>SSG 08 | Blue Spruce</t>
        </is>
      </c>
      <c r="B130" s="23" t="n">
        <v>45</v>
      </c>
      <c r="C130" s="11" t="n">
        <v>56.6</v>
      </c>
      <c r="D130" s="11">
        <f>C130*$B$1</f>
        <v/>
      </c>
      <c r="E130" s="12">
        <f>C130-D130</f>
        <v/>
      </c>
      <c r="F130" s="19">
        <f>E130-B130</f>
        <v/>
      </c>
      <c r="G130" s="21">
        <f>IF(B130=0,"",F130/B130)</f>
        <v/>
      </c>
      <c r="H130" s="13" t="inlineStr">
        <is>
          <t>https://csfloat.com/item/954379885516819412</t>
        </is>
      </c>
    </row>
    <row r="131" ht="19.5" customHeight="1" s="49">
      <c r="A131" s="6" t="inlineStr">
        <is>
          <t>SCAR-20 | Sand Mesh</t>
        </is>
      </c>
      <c r="B131" s="22" t="n">
        <v>0.57</v>
      </c>
      <c r="C131" s="7" t="n">
        <v>3.3</v>
      </c>
      <c r="D131" s="7">
        <f>C131*$B$1</f>
        <v/>
      </c>
      <c r="E131" s="8">
        <f>C131-D131</f>
        <v/>
      </c>
      <c r="F131" s="18">
        <f>E131-B131</f>
        <v/>
      </c>
      <c r="G131" s="20">
        <f>IF(B131=0,"",F131/B131)</f>
        <v/>
      </c>
      <c r="H131" s="9" t="inlineStr">
        <is>
          <t>https://csfloat.com/item/954026894381156288</t>
        </is>
      </c>
    </row>
    <row r="132" ht="19.5" customHeight="1" s="49">
      <c r="A132" s="10" t="inlineStr">
        <is>
          <t>SCAR-20 | Sand Mesh</t>
        </is>
      </c>
      <c r="B132" s="23" t="n">
        <v>0.12</v>
      </c>
      <c r="C132" s="11" t="n">
        <v>2.2</v>
      </c>
      <c r="D132" s="11">
        <f>C132*$B$1</f>
        <v/>
      </c>
      <c r="E132" s="12">
        <f>C132-D132</f>
        <v/>
      </c>
      <c r="F132" s="19">
        <f>E132-B132</f>
        <v/>
      </c>
      <c r="G132" s="21">
        <f>IF(B132=0,"",F132/B132)</f>
        <v/>
      </c>
      <c r="H132" s="13" t="inlineStr">
        <is>
          <t>https://csfloat.com/item/954029672579072587</t>
        </is>
      </c>
    </row>
    <row r="133" ht="19.5" customHeight="1" s="49">
      <c r="A133" s="6" t="inlineStr">
        <is>
          <t>M4A1-S | Black Lotus</t>
        </is>
      </c>
      <c r="B133" s="22" t="n">
        <v>18</v>
      </c>
      <c r="C133" s="7" t="n">
        <v>21</v>
      </c>
      <c r="D133" s="7">
        <f>C133*$B$1</f>
        <v/>
      </c>
      <c r="E133" s="8">
        <f>C133-D133</f>
        <v/>
      </c>
      <c r="F133" s="18">
        <f>E133-B133</f>
        <v/>
      </c>
      <c r="G133" s="20">
        <f>IF(B133=0,"",F133/B133)</f>
        <v/>
      </c>
      <c r="H133" s="9" t="inlineStr">
        <is>
          <t>https://csfloat.com/item/954148449169834121</t>
        </is>
      </c>
    </row>
    <row r="134" ht="19.5" customHeight="1" s="49">
      <c r="A134" s="10" t="inlineStr">
        <is>
          <t>M4A1-S | Black Lotus</t>
        </is>
      </c>
      <c r="B134" s="23" t="n">
        <v>7.69</v>
      </c>
      <c r="C134" s="11" t="n">
        <v>21</v>
      </c>
      <c r="D134" s="11">
        <f>C134*$B$1</f>
        <v/>
      </c>
      <c r="E134" s="12">
        <f>C134-D134</f>
        <v/>
      </c>
      <c r="F134" s="19">
        <f>E134-B134</f>
        <v/>
      </c>
      <c r="G134" s="21">
        <f>IF(B134=0,"",F134/B134)</f>
        <v/>
      </c>
      <c r="H134" s="13" t="inlineStr">
        <is>
          <t>https://csfloat.com/item/954224244781353596</t>
        </is>
      </c>
    </row>
    <row r="135" ht="19.5" customHeight="1" s="49">
      <c r="A135" s="6" t="inlineStr">
        <is>
          <t>P90 | Scorched</t>
        </is>
      </c>
      <c r="B135" s="22" t="n">
        <v>13.3</v>
      </c>
      <c r="C135" s="7" t="n">
        <v>15.5</v>
      </c>
      <c r="D135" s="7">
        <f>C135*$B$1</f>
        <v/>
      </c>
      <c r="E135" s="8">
        <f>C135-D135</f>
        <v/>
      </c>
      <c r="F135" s="18">
        <f>E135-B135</f>
        <v/>
      </c>
      <c r="G135" s="20">
        <f>IF(B135=0,"",F135/B135)</f>
        <v/>
      </c>
      <c r="H135" s="9" t="inlineStr">
        <is>
          <t>https://csfloat.com/item/954266926471842562</t>
        </is>
      </c>
    </row>
    <row r="136" ht="19.5" customHeight="1" s="49">
      <c r="A136" s="10" t="inlineStr">
        <is>
          <t>P2000 | Grassland</t>
        </is>
      </c>
      <c r="B136" s="23" t="n">
        <v>0.06</v>
      </c>
      <c r="C136" s="11" t="n">
        <v>0.8</v>
      </c>
      <c r="D136" s="11">
        <f>C136*$B$1</f>
        <v/>
      </c>
      <c r="E136" s="12">
        <f>C136-D136</f>
        <v/>
      </c>
      <c r="F136" s="19">
        <f>E136-B136</f>
        <v/>
      </c>
      <c r="G136" s="21">
        <f>IF(B136=0,"",F136/B136)</f>
        <v/>
      </c>
      <c r="H136" s="13" t="inlineStr">
        <is>
          <t>https://csfloat.com/item/952528828411021687</t>
        </is>
      </c>
    </row>
    <row r="137" ht="19.5" customHeight="1" s="49">
      <c r="A137" s="6" t="inlineStr">
        <is>
          <t>Nova | Polar Mesh</t>
        </is>
      </c>
      <c r="B137" s="22" t="n">
        <v>0.17</v>
      </c>
      <c r="C137" s="7" t="n">
        <v>0.7</v>
      </c>
      <c r="D137" s="7">
        <f>C137*$B$1</f>
        <v/>
      </c>
      <c r="E137" s="8">
        <f>C137-D137</f>
        <v/>
      </c>
      <c r="F137" s="18">
        <f>E137-B137</f>
        <v/>
      </c>
      <c r="G137" s="20">
        <f>IF(B137=0,"",F137/B137)</f>
        <v/>
      </c>
      <c r="H137" s="9" t="inlineStr">
        <is>
          <t>https://csfloat.com/item/939850430580657762</t>
        </is>
      </c>
    </row>
    <row r="138" ht="19.5" customHeight="1" s="49">
      <c r="A138" s="10" t="inlineStr">
        <is>
          <t>M4A1-S | Black Lotus</t>
        </is>
      </c>
      <c r="B138" s="23" t="n">
        <v>7.28</v>
      </c>
      <c r="C138" s="11" t="n">
        <v>22</v>
      </c>
      <c r="D138" s="11">
        <f>C138*$B$1</f>
        <v/>
      </c>
      <c r="E138" s="12">
        <f>C138-D138</f>
        <v/>
      </c>
      <c r="F138" s="19">
        <f>E138-B138</f>
        <v/>
      </c>
      <c r="G138" s="21">
        <f>IF(B138=0,"",F138/B138)</f>
        <v/>
      </c>
      <c r="H138" s="13" t="inlineStr">
        <is>
          <t>https://csfloat.com/item/954753977667423111</t>
        </is>
      </c>
    </row>
    <row r="139" ht="19.5" customHeight="1" s="49">
      <c r="A139" s="6" t="inlineStr">
        <is>
          <t>UMP-45 | Scorched</t>
        </is>
      </c>
      <c r="B139" s="22" t="n">
        <v>0.03</v>
      </c>
      <c r="C139" s="7" t="n">
        <v>18</v>
      </c>
      <c r="D139" s="7">
        <f>C139*$B$1</f>
        <v/>
      </c>
      <c r="E139" s="8">
        <f>C139-D139</f>
        <v/>
      </c>
      <c r="F139" s="18">
        <f>E139-B139</f>
        <v/>
      </c>
      <c r="G139" s="20">
        <f>IF(B139=0,"",F139/B139)</f>
        <v/>
      </c>
      <c r="H139" s="9" t="inlineStr">
        <is>
          <t>https://csfloat.com/item/954781701949753004</t>
        </is>
      </c>
    </row>
    <row r="140" ht="19.5" customHeight="1" s="49">
      <c r="A140" s="10" t="inlineStr">
        <is>
          <t>USP-S | 027</t>
        </is>
      </c>
      <c r="B140" s="23" t="n">
        <v>25</v>
      </c>
      <c r="C140" s="11" t="n">
        <v>54.45</v>
      </c>
      <c r="D140" s="11">
        <f>C140*$B$1</f>
        <v/>
      </c>
      <c r="E140" s="12">
        <f>C140-D140</f>
        <v/>
      </c>
      <c r="F140" s="19">
        <f>E140-B140</f>
        <v/>
      </c>
      <c r="G140" s="21">
        <f>IF(B140=0,"",F140/B140)</f>
        <v/>
      </c>
      <c r="H140" s="13" t="inlineStr">
        <is>
          <t>https://csfloat.com/item/953385836072799387</t>
        </is>
      </c>
    </row>
    <row r="141" ht="19.5" customHeight="1" s="49">
      <c r="A141" s="6" t="inlineStr">
        <is>
          <t>MAG-7 | Sand Dune</t>
        </is>
      </c>
      <c r="B141" s="22" t="n">
        <v>1</v>
      </c>
      <c r="C141" s="7" t="n">
        <v>1.4</v>
      </c>
      <c r="D141" s="7">
        <f>C141*$B$1</f>
        <v/>
      </c>
      <c r="E141" s="8">
        <f>C141-D141</f>
        <v/>
      </c>
      <c r="F141" s="18">
        <f>E141-B141</f>
        <v/>
      </c>
      <c r="G141" s="20">
        <f>IF(B141=0,"",F141/B141)</f>
        <v/>
      </c>
      <c r="H141" s="9" t="inlineStr">
        <is>
          <t>https://csfloat.com/item/955475297279542908</t>
        </is>
      </c>
    </row>
    <row r="142" ht="19.5" customHeight="1" s="49">
      <c r="A142" s="10" t="inlineStr">
        <is>
          <t>MAG-7 | Sand Dune</t>
        </is>
      </c>
      <c r="B142" s="23" t="n">
        <v>3.56</v>
      </c>
      <c r="C142" s="11" t="n">
        <v>10</v>
      </c>
      <c r="D142" s="11">
        <f>C142*$B$1</f>
        <v/>
      </c>
      <c r="E142" s="12">
        <f>C142-D142</f>
        <v/>
      </c>
      <c r="F142" s="19">
        <f>E142-B142</f>
        <v/>
      </c>
      <c r="G142" s="21">
        <f>IF(B142=0,"",F142/B142)</f>
        <v/>
      </c>
      <c r="H142" s="13" t="inlineStr">
        <is>
          <t>https://csfloat.com/item/955505926679431399</t>
        </is>
      </c>
    </row>
    <row r="143" ht="19.5" customHeight="1" s="49">
      <c r="A143" s="6" t="inlineStr">
        <is>
          <t>Nova | Mandrel</t>
        </is>
      </c>
      <c r="B143" s="22" t="n">
        <v>0.45</v>
      </c>
      <c r="C143" s="7" t="n">
        <v>3.2</v>
      </c>
      <c r="D143" s="7">
        <f>C143*$B$1</f>
        <v/>
      </c>
      <c r="E143" s="8">
        <f>C143-D143</f>
        <v/>
      </c>
      <c r="F143" s="18">
        <f>E143-B143</f>
        <v/>
      </c>
      <c r="G143" s="20">
        <f>IF(B143=0,"",F143/B143)</f>
        <v/>
      </c>
      <c r="H143" s="9" t="inlineStr">
        <is>
          <t>https://csfloat.com/item/955509687736991792</t>
        </is>
      </c>
    </row>
    <row r="144" ht="19.5" customHeight="1" s="49">
      <c r="A144" s="10" t="inlineStr">
        <is>
          <t>AUG | Radiation Hazard</t>
        </is>
      </c>
      <c r="B144" s="23" t="n">
        <v>1.96</v>
      </c>
      <c r="C144" s="11" t="n">
        <v>9.4</v>
      </c>
      <c r="D144" s="11">
        <f>C144*$B$1</f>
        <v/>
      </c>
      <c r="E144" s="12">
        <f>C144-D144</f>
        <v/>
      </c>
      <c r="F144" s="19">
        <f>E144-B144</f>
        <v/>
      </c>
      <c r="G144" s="21">
        <f>IF(B144=0,"",F144/B144)</f>
        <v/>
      </c>
      <c r="H144" s="13" t="inlineStr">
        <is>
          <t>https://csfloat.com/item/955874746413746579</t>
        </is>
      </c>
    </row>
    <row r="145" ht="19.5" customHeight="1" s="49">
      <c r="A145" s="6" t="inlineStr">
        <is>
          <t>Galil AR | Hunting Blind</t>
        </is>
      </c>
      <c r="B145" s="22" t="n">
        <v>0.87</v>
      </c>
      <c r="C145" s="7" t="n">
        <v>8</v>
      </c>
      <c r="D145" s="7">
        <f>C145*$B$1</f>
        <v/>
      </c>
      <c r="E145" s="8">
        <f>C145-D145</f>
        <v/>
      </c>
      <c r="F145" s="18">
        <f>E145-B145</f>
        <v/>
      </c>
      <c r="G145" s="20">
        <f>IF(B145=0,"",F145/B145)</f>
        <v/>
      </c>
      <c r="H145" s="17" t="inlineStr">
        <is>
          <t>https://csfloat.com/item/956567270467962650</t>
        </is>
      </c>
    </row>
    <row r="146" ht="19.5" customHeight="1" s="49">
      <c r="A146" s="10" t="inlineStr">
        <is>
          <t>Stuff (Too lazy to check)</t>
        </is>
      </c>
      <c r="B146" s="23" t="n">
        <v>1.5</v>
      </c>
      <c r="C146" s="11" t="n">
        <v>3</v>
      </c>
      <c r="D146" s="11">
        <f>C146*$B$1</f>
        <v/>
      </c>
      <c r="E146" s="12">
        <f>C146-D146</f>
        <v/>
      </c>
      <c r="F146" s="19">
        <f>E146-B146</f>
        <v/>
      </c>
      <c r="G146" s="21">
        <f>IF(B146=0,"",F146/B146)</f>
        <v/>
      </c>
      <c r="H146" s="15" t="inlineStr">
        <is>
          <t xml:space="preserve">https://csfloat.com/item/944922592052117660 | https://csfloat.com/item/954547166276356125 | </t>
        </is>
      </c>
      <c r="M146" s="16" t="inlineStr">
        <is>
          <t>https://csfloat.com/item/955802046601235268</t>
        </is>
      </c>
      <c r="R146" s="16" t="inlineStr">
        <is>
          <t>https://csfloat.com/item/954546325343568104</t>
        </is>
      </c>
    </row>
    <row r="147" ht="19.5" customHeight="1" s="49">
      <c r="A147" s="6" t="inlineStr">
        <is>
          <t>Dual Berettas | Colony</t>
        </is>
      </c>
      <c r="B147" s="22" t="n">
        <v>3.99</v>
      </c>
      <c r="C147" s="7" t="n">
        <v>7.6</v>
      </c>
      <c r="D147" s="7">
        <f>C147*$B$1</f>
        <v/>
      </c>
      <c r="E147" s="8">
        <f>C147-D147</f>
        <v/>
      </c>
      <c r="F147" s="18">
        <f>E147-B147</f>
        <v/>
      </c>
      <c r="G147" s="20">
        <f>IF(B147=0,"",F147/B147)</f>
        <v/>
      </c>
      <c r="H147" s="17" t="inlineStr">
        <is>
          <t>https://csfloat.com/item/956593208299751627</t>
        </is>
      </c>
    </row>
    <row r="148" ht="19.5" customHeight="1" s="49">
      <c r="A148" s="6" t="inlineStr">
        <is>
          <t>Negev | Nuclear Waste</t>
        </is>
      </c>
      <c r="B148" s="24" t="n">
        <v>4.97</v>
      </c>
      <c r="C148" s="29" t="n">
        <v>12</v>
      </c>
      <c r="D148" s="7">
        <f>IF(C148="","",C148*$B$1)</f>
        <v/>
      </c>
      <c r="E148" s="8">
        <f>IF(C148="","",C148-D148)</f>
        <v/>
      </c>
      <c r="F148" s="18">
        <f>IF(OR(B148="",C148=""),"",E148-B148)</f>
        <v/>
      </c>
      <c r="G148" s="20">
        <f>IF(OR(B148="",B148=0),"",F148/B148)</f>
        <v/>
      </c>
      <c r="H148" s="17" t="inlineStr">
        <is>
          <t>https://csfloat.com/item/956684959337285240</t>
        </is>
      </c>
    </row>
    <row r="149" ht="19.5" customHeight="1" s="49">
      <c r="A149" s="10" t="inlineStr">
        <is>
          <t>MAG-7 | Sand Dune</t>
        </is>
      </c>
      <c r="B149" s="25" t="n">
        <v>0.41</v>
      </c>
      <c r="C149" s="30" t="n">
        <v>2.75</v>
      </c>
      <c r="D149" s="11">
        <f>IF(C149="","",C149*$B$1)</f>
        <v/>
      </c>
      <c r="E149" s="12">
        <f>IF(C149="","",C149-D149)</f>
        <v/>
      </c>
      <c r="F149" s="19">
        <f>IF(OR(B149="",C149=""),"",E149-B149)</f>
        <v/>
      </c>
      <c r="G149" s="21">
        <f>IF(OR(B149="",B149=0),"",F149/B149)</f>
        <v/>
      </c>
      <c r="H149" s="15" t="inlineStr">
        <is>
          <t>https://csfloat.com/item/956945003496737019</t>
        </is>
      </c>
    </row>
    <row r="150" ht="19.5" customHeight="1" s="49">
      <c r="A150" s="6" t="inlineStr">
        <is>
          <t>M4A1-S | Black Lotus</t>
        </is>
      </c>
      <c r="B150" s="24" t="n">
        <v>19</v>
      </c>
      <c r="C150" s="29" t="n">
        <v>20.8</v>
      </c>
      <c r="D150" s="7">
        <f>IF(C150="","",C150*$B$1)</f>
        <v/>
      </c>
      <c r="E150" s="8">
        <f>IF(C150="","",C150-D150)</f>
        <v/>
      </c>
      <c r="F150" s="18">
        <f>IF(OR(B150="",C150=""),"",E150-B150)</f>
        <v/>
      </c>
      <c r="G150" s="20">
        <f>IF(OR(B150="",B150=0),"",F150/B150)</f>
        <v/>
      </c>
      <c r="H150" s="17" t="inlineStr">
        <is>
          <t>https://csfloat.com/item/957031296893324684</t>
        </is>
      </c>
    </row>
    <row r="151" ht="19.5" customHeight="1" s="49">
      <c r="A151" s="10" t="inlineStr">
        <is>
          <t>MP9 | Sand Dashed</t>
        </is>
      </c>
      <c r="B151" s="25" t="n">
        <v>0.17</v>
      </c>
      <c r="C151" s="30" t="n">
        <v>4.25</v>
      </c>
      <c r="D151" s="11">
        <f>IF(C151="","",C151*$B$1)</f>
        <v/>
      </c>
      <c r="E151" s="12">
        <f>IF(C151="","",C151-D151)</f>
        <v/>
      </c>
      <c r="F151" s="19">
        <f>IF(OR(B151="",C151=""),"",E151-B151)</f>
        <v/>
      </c>
      <c r="G151" s="21">
        <f>IF(OR(B151="",B151=0),"",F151/B151)</f>
        <v/>
      </c>
      <c r="H151" s="15" t="inlineStr">
        <is>
          <t>https://csfloat.com/item/957337972347374327</t>
        </is>
      </c>
    </row>
    <row r="152" ht="19.5" customHeight="1" s="49">
      <c r="A152" s="6" t="inlineStr">
        <is>
          <t>G3SG1 | Safari Mesh</t>
        </is>
      </c>
      <c r="B152" s="24" t="n">
        <v>1.5</v>
      </c>
      <c r="C152" s="29" t="n">
        <v>2.65</v>
      </c>
      <c r="D152" s="7">
        <f>IF(C152="","",C152*$B$1)</f>
        <v/>
      </c>
      <c r="E152" s="8">
        <f>IF(C152="","",C152-D152)</f>
        <v/>
      </c>
      <c r="F152" s="18">
        <f>IF(OR(B152="",C152=""),"",E152-B152)</f>
        <v/>
      </c>
      <c r="G152" s="20">
        <f>IF(OR(B152="",B152=0),"",F152/B152)</f>
        <v/>
      </c>
      <c r="H152" s="17" t="inlineStr">
        <is>
          <t>https://csfloat.com/item/957362320961571582</t>
        </is>
      </c>
    </row>
    <row r="153" ht="19.5" customHeight="1" s="49">
      <c r="A153" s="10" t="inlineStr">
        <is>
          <t>Sawed-Off | Irradiated Alert</t>
        </is>
      </c>
      <c r="B153" s="25" t="n">
        <v>0.53</v>
      </c>
      <c r="C153" s="30" t="n">
        <v>18.2</v>
      </c>
      <c r="D153" s="11">
        <f>IF(C153="","",C153*$B$1)</f>
        <v/>
      </c>
      <c r="E153" s="12">
        <f>IF(C153="","",C153-D153)</f>
        <v/>
      </c>
      <c r="F153" s="19">
        <f>IF(OR(B153="",C153=""),"",E153-B153)</f>
        <v/>
      </c>
      <c r="G153" s="21">
        <f>IF(OR(B153="",B153=0),"",F153/B153)</f>
        <v/>
      </c>
      <c r="H153" s="15" t="inlineStr">
        <is>
          <t>https://csfloat.com/item/957395899129136348</t>
        </is>
      </c>
    </row>
    <row r="154" ht="19.5" customHeight="1" s="49">
      <c r="A154" s="6" t="inlineStr">
        <is>
          <t>Nova | Walnut</t>
        </is>
      </c>
      <c r="B154" s="24" t="n">
        <v>0.5600000000000001</v>
      </c>
      <c r="C154" s="29" t="n">
        <v>2.65</v>
      </c>
      <c r="D154" s="7">
        <f>IF(C154="","",C154*$B$1)</f>
        <v/>
      </c>
      <c r="E154" s="8">
        <f>IF(C154="","",C154-D154)</f>
        <v/>
      </c>
      <c r="F154" s="18">
        <f>IF(OR(B154="",C154=""),"",E154-B154)</f>
        <v/>
      </c>
      <c r="G154" s="20">
        <f>IF(OR(B154="",B154=0),"",F154/B154)</f>
        <v/>
      </c>
      <c r="H154" s="17" t="inlineStr">
        <is>
          <t>https://csfloat.com/item/957412522934275253</t>
        </is>
      </c>
    </row>
    <row r="155" ht="19.5" customHeight="1" s="49">
      <c r="A155" s="10" t="inlineStr">
        <is>
          <t>MAG-7 | Irradiated Alert</t>
        </is>
      </c>
      <c r="B155" s="25" t="n">
        <v>5</v>
      </c>
      <c r="C155" s="30" t="n">
        <v>14.5</v>
      </c>
      <c r="D155" s="11">
        <f>IF(C155="","",C155*$B$1)</f>
        <v/>
      </c>
      <c r="E155" s="12">
        <f>IF(C155="","",C155-D155)</f>
        <v/>
      </c>
      <c r="F155" s="19">
        <f>IF(OR(B155="",C155=""),"",E155-B155)</f>
        <v/>
      </c>
      <c r="G155" s="21">
        <f>IF(OR(B155="",B155=0),"",F155/B155)</f>
        <v/>
      </c>
      <c r="H155" s="15" t="inlineStr">
        <is>
          <t>https://csfloat.com/item/957458412889833734</t>
        </is>
      </c>
    </row>
    <row r="156" ht="19.5" customHeight="1" s="49">
      <c r="A156" s="6" t="inlineStr">
        <is>
          <t>Nova | Walnut</t>
        </is>
      </c>
      <c r="B156" s="24" t="n">
        <v>0.61</v>
      </c>
      <c r="C156" s="29" t="n">
        <v>3.95</v>
      </c>
      <c r="D156" s="7">
        <f>IF(C156="","",C156*$B$1)</f>
        <v/>
      </c>
      <c r="E156" s="8">
        <f>IF(C156="","",C156-D156)</f>
        <v/>
      </c>
      <c r="F156" s="18">
        <f>IF(OR(B156="",C156=""),"",E156-B156)</f>
        <v/>
      </c>
      <c r="G156" s="20">
        <f>IF(OR(B156="",B156=0),"",F156/B156)</f>
        <v/>
      </c>
      <c r="H156" s="17" t="inlineStr">
        <is>
          <t>https://csfloat.com/item/957655959067561518</t>
        </is>
      </c>
    </row>
    <row r="157" ht="19.5" customHeight="1" s="49">
      <c r="A157" s="10" t="inlineStr">
        <is>
          <t>P250 | Bone Mask</t>
        </is>
      </c>
      <c r="B157" s="25" t="n">
        <v>0.53</v>
      </c>
      <c r="C157" s="30" t="n">
        <v>4.55</v>
      </c>
      <c r="D157" s="11">
        <f>IF(C157="","",C157*$B$1)</f>
        <v/>
      </c>
      <c r="E157" s="12">
        <f>IF(C157="","",C157-D157)</f>
        <v/>
      </c>
      <c r="F157" s="19">
        <f>IF(OR(B157="",C157=""),"",E157-B157)</f>
        <v/>
      </c>
      <c r="G157" s="21">
        <f>IF(OR(B157="",B157=0),"",F157/B157)</f>
        <v/>
      </c>
      <c r="H157" s="15" t="inlineStr">
        <is>
          <t>https://csfloat.com/item/957821121997177518</t>
        </is>
      </c>
    </row>
    <row r="158" ht="19.5" customHeight="1" s="49">
      <c r="A158" s="6" t="inlineStr">
        <is>
          <t>G3SG1 | Desert Storm</t>
        </is>
      </c>
      <c r="B158" s="24" t="n">
        <v>0.57</v>
      </c>
      <c r="C158" s="29" t="n">
        <v>3.74</v>
      </c>
      <c r="D158" s="7">
        <f>IF(C158="","",C158*$B$1)</f>
        <v/>
      </c>
      <c r="E158" s="8">
        <f>IF(C158="","",C158-D158)</f>
        <v/>
      </c>
      <c r="F158" s="18">
        <f>IF(OR(B158="",C158=""),"",E158-B158)</f>
        <v/>
      </c>
      <c r="G158" s="20">
        <f>IF(OR(B158="",B158=0),"",F158/B158)</f>
        <v/>
      </c>
      <c r="H158" s="17" t="inlineStr">
        <is>
          <t>https://csfloat.com/item/957988871260474075</t>
        </is>
      </c>
    </row>
    <row r="159" ht="19.5" customHeight="1" s="49">
      <c r="A159" s="10" t="inlineStr">
        <is>
          <t>P250 | Bone Mask</t>
        </is>
      </c>
      <c r="B159" s="25" t="n">
        <v>0.58</v>
      </c>
      <c r="C159" s="30" t="n">
        <v>7</v>
      </c>
      <c r="D159" s="11">
        <f>IF(C159="","",C159*$B$1)</f>
        <v/>
      </c>
      <c r="E159" s="12">
        <f>IF(C159="","",C159-D159)</f>
        <v/>
      </c>
      <c r="F159" s="19">
        <f>IF(OR(B159="",C159=""),"",E159-B159)</f>
        <v/>
      </c>
      <c r="G159" s="21">
        <f>IF(OR(B159="",B159=0),"",F159/B159)</f>
        <v/>
      </c>
      <c r="H159" s="15" t="inlineStr">
        <is>
          <t>https://csfloat.com/item/958033797989927260</t>
        </is>
      </c>
    </row>
    <row r="160" ht="19.5" customHeight="1" s="49">
      <c r="A160" s="6" t="inlineStr">
        <is>
          <t>PP-Bizon | Irradiated Alert</t>
        </is>
      </c>
      <c r="B160" s="24" t="n">
        <v>1.04</v>
      </c>
      <c r="C160" s="29" t="n">
        <v>2.4</v>
      </c>
      <c r="D160" s="7">
        <f>IF(C160="","",C160*$B$1)</f>
        <v/>
      </c>
      <c r="E160" s="8">
        <f>IF(C160="","",C160-D160)</f>
        <v/>
      </c>
      <c r="F160" s="18">
        <f>IF(OR(B160="",C160=""),"",E160-B160)</f>
        <v/>
      </c>
      <c r="G160" s="20">
        <f>IF(OR(B160="",B160=0),"",F160/B160)</f>
        <v/>
      </c>
      <c r="H160" s="17" t="inlineStr">
        <is>
          <t>https://csfloat.com/item/958410511551170988</t>
        </is>
      </c>
    </row>
    <row r="161" ht="19.5" customHeight="1" s="49">
      <c r="A161" s="10" t="inlineStr">
        <is>
          <t>M4A1-S | Black Lotus</t>
        </is>
      </c>
      <c r="B161" s="25" t="n">
        <v>19</v>
      </c>
      <c r="C161" s="30" t="n">
        <v>21.5</v>
      </c>
      <c r="D161" s="11">
        <f>IF(C161="","",C161*$B$1)</f>
        <v/>
      </c>
      <c r="E161" s="12">
        <f>IF(C161="","",C161-D161)</f>
        <v/>
      </c>
      <c r="F161" s="19">
        <f>IF(OR(B161="",C161=""),"",E161-B161)</f>
        <v/>
      </c>
      <c r="G161" s="21">
        <f>IF(OR(B161="",B161=0),"",F161/B161)</f>
        <v/>
      </c>
      <c r="H161" s="15" t="inlineStr">
        <is>
          <t>https://csfloat.com/item/958513248251021384</t>
        </is>
      </c>
    </row>
    <row r="162" ht="19.5" customHeight="1" s="49">
      <c r="A162" s="6" t="inlineStr">
        <is>
          <t>AK-47 | Slate</t>
        </is>
      </c>
      <c r="B162" s="24" t="n">
        <v>4.78</v>
      </c>
      <c r="C162" s="29" t="n">
        <v>7.2</v>
      </c>
      <c r="D162" s="7">
        <f>IF(C162="","",C162*$B$1)</f>
        <v/>
      </c>
      <c r="E162" s="8">
        <f>IF(C162="","",C162-D162)</f>
        <v/>
      </c>
      <c r="F162" s="18">
        <f>IF(OR(B162="",C162=""),"",E162-B162)</f>
        <v/>
      </c>
      <c r="G162" s="20">
        <f>IF(OR(B162="",B162=0),"",F162/B162)</f>
        <v/>
      </c>
      <c r="H162" s="17" t="inlineStr">
        <is>
          <t>https://csfloat.com/item/958790151134383599</t>
        </is>
      </c>
    </row>
    <row r="163" ht="19.5" customHeight="1" s="49">
      <c r="A163" s="10" t="inlineStr">
        <is>
          <t>UMP-45 | Mudder</t>
        </is>
      </c>
      <c r="B163" s="25" t="n">
        <v>0.03</v>
      </c>
      <c r="C163" s="30" t="n">
        <v>2</v>
      </c>
      <c r="D163" s="11">
        <f>IF(C163="","",C163*$B$1)</f>
        <v/>
      </c>
      <c r="E163" s="12">
        <f>IF(C163="","",C163-D163)</f>
        <v/>
      </c>
      <c r="F163" s="19">
        <f>IF(OR(B163="",C163=""),"",E163-B163)</f>
        <v/>
      </c>
      <c r="G163" s="21">
        <f>IF(OR(B163="",B163=0),"",F163/B163)</f>
        <v/>
      </c>
      <c r="H163" s="15" t="inlineStr">
        <is>
          <t>https://csfloat.com/item/958846548018594248</t>
        </is>
      </c>
    </row>
    <row r="164" ht="19.5" customHeight="1" s="49">
      <c r="A164" s="6" t="inlineStr">
        <is>
          <t>P90 | Sand Spray</t>
        </is>
      </c>
      <c r="B164" s="24" t="n">
        <v>1.03</v>
      </c>
      <c r="C164" s="29" t="n">
        <v>2.2</v>
      </c>
      <c r="D164" s="7">
        <f>IF(C164="","",C164*$B$1)</f>
        <v/>
      </c>
      <c r="E164" s="8">
        <f>IF(C164="","",C164-D164)</f>
        <v/>
      </c>
      <c r="F164" s="18">
        <f>IF(OR(B164="",C164=""),"",E164-B164)</f>
        <v/>
      </c>
      <c r="G164" s="20">
        <f>IF(OR(B164="",B164=0),"",F164/B164)</f>
        <v/>
      </c>
      <c r="H164" s="17" t="inlineStr">
        <is>
          <t>https://csfloat.com/item/958891316132053496</t>
        </is>
      </c>
    </row>
    <row r="165" ht="19.5" customHeight="1" s="49">
      <c r="A165" s="10" t="inlineStr">
        <is>
          <t>Random Sales</t>
        </is>
      </c>
      <c r="B165" s="25" t="n">
        <v>1.2</v>
      </c>
      <c r="C165" s="30" t="n">
        <v>2.5</v>
      </c>
      <c r="D165" s="11">
        <f>IF(C165="","",C165*$B$1)</f>
        <v/>
      </c>
      <c r="E165" s="12">
        <f>IF(C165="","",C165-D165)</f>
        <v/>
      </c>
      <c r="F165" s="19">
        <f>IF(OR(B165="",C165=""),"",E165-B165)</f>
        <v/>
      </c>
      <c r="G165" s="21">
        <f>IF(OR(B165="",B165=0),"",F165/B165)</f>
        <v/>
      </c>
      <c r="H165" s="15" t="inlineStr">
        <is>
          <t xml:space="preserve">https://csfloat.com/item/938779518829727146, https://csfloat.com/item/938779520515837381, </t>
        </is>
      </c>
      <c r="L165" s="16" t="inlineStr">
        <is>
          <t>https://csfloat.com/item/946106389204438729</t>
        </is>
      </c>
      <c r="Q165" s="16" t="inlineStr">
        <is>
          <t>https://csfloat.com/item/942380197964025124</t>
        </is>
      </c>
    </row>
    <row r="166" ht="19.5" customHeight="1" s="49">
      <c r="A166" s="6" t="inlineStr">
        <is>
          <t>★ Bowie Knife | Lore</t>
        </is>
      </c>
      <c r="B166" s="24" t="n">
        <v>93</v>
      </c>
      <c r="C166" s="29" t="n">
        <v>111</v>
      </c>
      <c r="D166" s="7">
        <f>IF(C166="","",C166*$B$1)</f>
        <v/>
      </c>
      <c r="E166" s="8">
        <f>IF(C166="","",C166-D166)</f>
        <v/>
      </c>
      <c r="F166" s="18">
        <f>IF(OR(B166="",C166=""),"",E166-B166)</f>
        <v/>
      </c>
      <c r="G166" s="20">
        <f>IF(OR(B166="",B166=0),"",F166/B166)</f>
        <v/>
      </c>
      <c r="H166" s="17" t="inlineStr">
        <is>
          <t>https://csfloat.com/item/959151321733268212</t>
        </is>
      </c>
    </row>
    <row r="167" ht="19.5" customHeight="1" s="49">
      <c r="A167" s="10" t="inlineStr">
        <is>
          <t>Nova | Walnut</t>
        </is>
      </c>
      <c r="B167" s="25" t="n">
        <v>1.04</v>
      </c>
      <c r="C167" s="30" t="n">
        <v>2.75</v>
      </c>
      <c r="D167" s="11">
        <f>IF(C167="","",C167*$B$1)</f>
        <v/>
      </c>
      <c r="E167" s="12">
        <f>IF(C167="","",C167-D167)</f>
        <v/>
      </c>
      <c r="F167" s="19">
        <f>IF(OR(B167="",C167=""),"",E167-B167)</f>
        <v/>
      </c>
      <c r="G167" s="21">
        <f>IF(OR(B167="",B167=0),"",F167/B167)</f>
        <v/>
      </c>
      <c r="H167" s="15" t="inlineStr">
        <is>
          <t>https://csfloat.com/item/959179849707162087</t>
        </is>
      </c>
    </row>
    <row r="168" ht="19.5" customHeight="1" s="49">
      <c r="A168" s="6" t="inlineStr">
        <is>
          <t>AUG | Sweeper</t>
        </is>
      </c>
      <c r="B168" s="24" t="n">
        <v>0.42</v>
      </c>
      <c r="C168" s="29" t="n">
        <v>1.8</v>
      </c>
      <c r="D168" s="7">
        <f>IF(C168="","",C168*$B$1)</f>
        <v/>
      </c>
      <c r="E168" s="8">
        <f>IF(C168="","",C168-D168)</f>
        <v/>
      </c>
      <c r="F168" s="18">
        <f>IF(OR(B168="",C168=""),"",E168-B168)</f>
        <v/>
      </c>
      <c r="G168" s="20">
        <f>IF(OR(B168="",B168=0),"",F168/B168)</f>
        <v/>
      </c>
      <c r="H168" s="17" t="inlineStr">
        <is>
          <t>https://csfloat.com/item/959212933307567362</t>
        </is>
      </c>
    </row>
    <row r="169" ht="19.5" customHeight="1" s="49">
      <c r="A169" s="10" t="inlineStr">
        <is>
          <t>Sawed-Off | Sage Spray</t>
        </is>
      </c>
      <c r="B169" s="25" t="n">
        <v>1.03</v>
      </c>
      <c r="C169" s="30" t="n">
        <v>7.9</v>
      </c>
      <c r="D169" s="11">
        <f>IF(C169="","",C169*$B$1)</f>
        <v/>
      </c>
      <c r="E169" s="12">
        <f>IF(C169="","",C169-D169)</f>
        <v/>
      </c>
      <c r="F169" s="19">
        <f>IF(OR(B169="",C169=""),"",E169-B169)</f>
        <v/>
      </c>
      <c r="G169" s="21">
        <f>IF(OR(B169="",B169=0),"",F169/B169)</f>
        <v/>
      </c>
      <c r="H169" s="15" t="inlineStr">
        <is>
          <t>https://csfloat.com/item/959213132943852856</t>
        </is>
      </c>
    </row>
    <row r="170" ht="19.5" customHeight="1" s="49">
      <c r="A170" s="6" t="inlineStr">
        <is>
          <t>PP-Bizon | Irradiated Alert</t>
        </is>
      </c>
      <c r="B170" s="24" t="n">
        <v>4.37</v>
      </c>
      <c r="C170" s="29" t="n">
        <v>14.5</v>
      </c>
      <c r="D170" s="7">
        <f>IF(C170="","",C170*$B$1)</f>
        <v/>
      </c>
      <c r="E170" s="8">
        <f>IF(C170="","",C170-D170)</f>
        <v/>
      </c>
      <c r="F170" s="18">
        <f>IF(OR(B170="",C170=""),"",E170-B170)</f>
        <v/>
      </c>
      <c r="G170" s="20">
        <f>IF(OR(B170="",B170=0),"",F170/B170)</f>
        <v/>
      </c>
      <c r="H170" s="17" t="inlineStr">
        <is>
          <t>https://csfloat.com/item/959213322442509648</t>
        </is>
      </c>
    </row>
    <row r="171" ht="19.5" customHeight="1" s="49">
      <c r="A171" s="10" t="inlineStr">
        <is>
          <t>Sawed-Off | Irradiated Alert</t>
        </is>
      </c>
      <c r="B171" s="25" t="n">
        <v>5.95</v>
      </c>
      <c r="C171" s="30" t="n">
        <v>19</v>
      </c>
      <c r="D171" s="11">
        <f>IF(C171="","",C171*$B$1)</f>
        <v/>
      </c>
      <c r="E171" s="12">
        <f>IF(C171="","",C171-D171)</f>
        <v/>
      </c>
      <c r="F171" s="19">
        <f>IF(OR(B171="",C171=""),"",E171-B171)</f>
        <v/>
      </c>
      <c r="G171" s="21">
        <f>IF(OR(B171="",B171=0),"",F171/B171)</f>
        <v/>
      </c>
      <c r="H171" s="15" t="inlineStr">
        <is>
          <t>https://csfloat.com/item/959213710012976039</t>
        </is>
      </c>
    </row>
    <row r="172" ht="19.5" customHeight="1" s="49">
      <c r="A172" s="6" t="inlineStr">
        <is>
          <t>G3SG1 | Desert Storm</t>
        </is>
      </c>
      <c r="B172" s="24" t="n">
        <v>1</v>
      </c>
      <c r="C172" s="29" t="n">
        <v>2.3</v>
      </c>
      <c r="D172" s="7">
        <f>IF(C172="","",C172*$B$1)</f>
        <v/>
      </c>
      <c r="E172" s="8">
        <f>IF(C172="","",C172-D172)</f>
        <v/>
      </c>
      <c r="F172" s="18">
        <f>IF(OR(B172="",C172=""),"",E172-B172)</f>
        <v/>
      </c>
      <c r="G172" s="20">
        <f>IF(OR(B172="",B172=0),"",F172/B172)</f>
        <v/>
      </c>
      <c r="H172" s="17" t="inlineStr">
        <is>
          <t>https://csfloat.com/item/959265050001018671</t>
        </is>
      </c>
    </row>
    <row r="173" ht="19.5" customHeight="1" s="49">
      <c r="A173" s="10" t="inlineStr">
        <is>
          <t>PP-Bizon | Irradiated Alert</t>
        </is>
      </c>
      <c r="B173" s="25" t="n">
        <v>9.75</v>
      </c>
      <c r="C173" s="30" t="n">
        <v>18</v>
      </c>
      <c r="D173" s="11">
        <f>IF(C173="","",C173*$B$1)</f>
        <v/>
      </c>
      <c r="E173" s="12">
        <f>IF(C173="","",C173-D173)</f>
        <v/>
      </c>
      <c r="F173" s="19">
        <f>IF(OR(B173="",C173=""),"",E173-B173)</f>
        <v/>
      </c>
      <c r="G173" s="21">
        <f>IF(OR(B173="",B173=0),"",F173/B173)</f>
        <v/>
      </c>
      <c r="H173" s="15" t="inlineStr">
        <is>
          <t>https://csfloat.com/item/959584093111189799</t>
        </is>
      </c>
    </row>
    <row r="174" ht="19.5" customHeight="1" s="49">
      <c r="A174" s="6" t="inlineStr">
        <is>
          <t>Desert Eagle | Urban DDPAT</t>
        </is>
      </c>
      <c r="B174" s="24" t="n">
        <v>4.37</v>
      </c>
      <c r="C174" s="29" t="n">
        <v>10.5</v>
      </c>
      <c r="D174" s="7">
        <f>IF(C174="","",C174*$B$1)</f>
        <v/>
      </c>
      <c r="E174" s="8">
        <f>IF(C174="","",C174-D174)</f>
        <v/>
      </c>
      <c r="F174" s="18">
        <f>IF(OR(B174="",C174=""),"",E174-B174)</f>
        <v/>
      </c>
      <c r="G174" s="20">
        <f>IF(OR(B174="",B174=0),"",F174/B174)</f>
        <v/>
      </c>
      <c r="H174" s="17" t="inlineStr">
        <is>
          <t>https://csfloat.com/item/959642734723993157</t>
        </is>
      </c>
    </row>
    <row r="175" ht="19.5" customHeight="1" s="49">
      <c r="A175" s="10" t="inlineStr">
        <is>
          <t>UMP-45 | Facility Dark</t>
        </is>
      </c>
      <c r="B175" s="25" t="n">
        <v>12.1</v>
      </c>
      <c r="C175" s="30" t="n">
        <v>18</v>
      </c>
      <c r="D175" s="11">
        <f>IF(C175="","",C175*$B$1)</f>
        <v/>
      </c>
      <c r="E175" s="12">
        <f>IF(C175="","",C175-D175)</f>
        <v/>
      </c>
      <c r="F175" s="19">
        <f>IF(OR(B175="",C175=""),"",E175-B175)</f>
        <v/>
      </c>
      <c r="G175" s="21">
        <f>IF(OR(B175="",B175=0),"",F175/B175)</f>
        <v/>
      </c>
      <c r="H175" s="15" t="inlineStr">
        <is>
          <t>https://csfloat.com/item/959643770805158677</t>
        </is>
      </c>
    </row>
    <row r="176" ht="19.5" customHeight="1" s="49">
      <c r="A176" s="6" t="inlineStr">
        <is>
          <t>MP9 | Storm</t>
        </is>
      </c>
      <c r="B176" s="24" t="n">
        <v>0.28</v>
      </c>
      <c r="C176" s="29" t="n">
        <v>3.1</v>
      </c>
      <c r="D176" s="7">
        <f>IF(C176="","",C176*$B$1)</f>
        <v/>
      </c>
      <c r="E176" s="8">
        <f>IF(C176="","",C176-D176)</f>
        <v/>
      </c>
      <c r="F176" s="18">
        <f>IF(OR(B176="",C176=""),"",E176-B176)</f>
        <v/>
      </c>
      <c r="G176" s="20">
        <f>IF(OR(B176="",B176=0),"",F176/B176)</f>
        <v/>
      </c>
      <c r="H176" s="17" t="inlineStr">
        <is>
          <t>https://csfloat.com/item/959874117442602443</t>
        </is>
      </c>
    </row>
    <row r="177" ht="19.5" customHeight="1" s="49">
      <c r="A177" s="10" t="inlineStr">
        <is>
          <t>Five-SeveN | Forest Night</t>
        </is>
      </c>
      <c r="B177" s="25" t="n">
        <v>1.72</v>
      </c>
      <c r="C177" s="30" t="n">
        <v>8</v>
      </c>
      <c r="D177" s="11">
        <f>IF(C177="","",C177*$B$1)</f>
        <v/>
      </c>
      <c r="E177" s="12">
        <f>IF(C177="","",C177-D177)</f>
        <v/>
      </c>
      <c r="F177" s="19">
        <f>IF(OR(B177="",C177=""),"",E177-B177)</f>
        <v/>
      </c>
      <c r="G177" s="21">
        <f>IF(OR(B177="",B177=0),"",F177/B177)</f>
        <v/>
      </c>
      <c r="H177" s="15" t="inlineStr">
        <is>
          <t>https://csfloat.com/item/959965942731902672</t>
        </is>
      </c>
    </row>
    <row r="178" ht="19.5" customHeight="1" s="49">
      <c r="A178" s="6" t="inlineStr">
        <is>
          <t>Nova | Walnut</t>
        </is>
      </c>
      <c r="B178" s="24" t="n">
        <v>0.57</v>
      </c>
      <c r="C178" s="29" t="n">
        <v>3.1</v>
      </c>
      <c r="D178" s="7">
        <f>IF(C178="","",C178*$B$1)</f>
        <v/>
      </c>
      <c r="E178" s="8">
        <f>IF(C178="","",C178-D178)</f>
        <v/>
      </c>
      <c r="F178" s="18">
        <f>IF(OR(B178="",C178=""),"",E178-B178)</f>
        <v/>
      </c>
      <c r="G178" s="20">
        <f>IF(OR(B178="",B178=0),"",F178/B178)</f>
        <v/>
      </c>
      <c r="H178" s="17" t="inlineStr">
        <is>
          <t>https://csfloat.com/item/959982098876335272</t>
        </is>
      </c>
    </row>
    <row r="179" ht="19.5" customHeight="1" s="49">
      <c r="A179" s="10" t="inlineStr">
        <is>
          <t>Sawed-Off | Irradiated Alert</t>
        </is>
      </c>
      <c r="B179" s="25" t="n">
        <v>0.3</v>
      </c>
      <c r="C179" s="30" t="n">
        <v>2.8</v>
      </c>
      <c r="D179" s="11">
        <f>IF(C179="","",C179*$B$1)</f>
        <v/>
      </c>
      <c r="E179" s="12">
        <f>IF(C179="","",C179-D179)</f>
        <v/>
      </c>
      <c r="F179" s="19">
        <f>IF(OR(B179="",C179=""),"",E179-B179)</f>
        <v/>
      </c>
      <c r="G179" s="21">
        <f>IF(OR(B179="",B179=0),"",F179/B179)</f>
        <v/>
      </c>
      <c r="H179" s="15" t="inlineStr">
        <is>
          <t>https://csfloat.com/item/960036106232008005</t>
        </is>
      </c>
    </row>
    <row r="180" ht="19.5" customHeight="1" s="49">
      <c r="A180" s="6" t="inlineStr">
        <is>
          <t>random</t>
        </is>
      </c>
      <c r="B180" s="24" t="n">
        <v>0.8</v>
      </c>
      <c r="C180" s="29" t="n">
        <v>1.7</v>
      </c>
      <c r="D180" s="7">
        <f>IF(C180="","",C180*$B$1)</f>
        <v/>
      </c>
      <c r="E180" s="8">
        <f>IF(C180="","",C180-D180)</f>
        <v/>
      </c>
      <c r="F180" s="18">
        <f>IF(OR(B180="",C180=""),"",E180-B180)</f>
        <v/>
      </c>
      <c r="G180" s="20">
        <f>IF(OR(B180="",B180=0),"",F180/B180)</f>
        <v/>
      </c>
      <c r="H180" s="17" t="inlineStr">
        <is>
          <t>https://csfloat.com/item/959970442528031853, https://csfloat.com/item/946110998966832483</t>
        </is>
      </c>
    </row>
    <row r="181" ht="19.5" customHeight="1" s="49">
      <c r="A181" s="10" t="inlineStr">
        <is>
          <t>Nova | Walnut</t>
        </is>
      </c>
      <c r="B181" s="25" t="n">
        <v>0.67</v>
      </c>
      <c r="C181" s="30" t="n">
        <v>3.75</v>
      </c>
      <c r="D181" s="11">
        <f>IF(C181="","",C181*$B$1)</f>
        <v/>
      </c>
      <c r="E181" s="12">
        <f>IF(C181="","",C181-D181)</f>
        <v/>
      </c>
      <c r="F181" s="19">
        <f>IF(OR(B181="",C181=""),"",E181-B181)</f>
        <v/>
      </c>
      <c r="G181" s="21">
        <f>IF(OR(B181="",B181=0),"",F181/B181)</f>
        <v/>
      </c>
      <c r="H181" s="15" t="inlineStr">
        <is>
          <t>https://csfloat.com/item/960375281502261138</t>
        </is>
      </c>
    </row>
    <row r="182" ht="19.5" customHeight="1" s="49">
      <c r="A182" s="6" t="inlineStr">
        <is>
          <t>P250 | Contamination</t>
        </is>
      </c>
      <c r="B182" s="24" t="n">
        <v>0.99</v>
      </c>
      <c r="C182" s="29" t="n">
        <v>4.8</v>
      </c>
      <c r="D182" s="7">
        <f>IF(C182="","",C182*$B$1)</f>
        <v/>
      </c>
      <c r="E182" s="8">
        <f>IF(C182="","",C182-D182)</f>
        <v/>
      </c>
      <c r="F182" s="18">
        <f>IF(OR(B182="",C182=""),"",E182-B182)</f>
        <v/>
      </c>
      <c r="G182" s="20">
        <f>IF(OR(B182="",B182=0),"",F182/B182)</f>
        <v/>
      </c>
      <c r="H182" s="17" t="inlineStr">
        <is>
          <t>https://csfloat.com/item/960461212737473793</t>
        </is>
      </c>
    </row>
    <row r="183" ht="19.5" customHeight="1" s="49">
      <c r="A183" s="10" t="inlineStr">
        <is>
          <t>PP-Bizon | Chemical Green</t>
        </is>
      </c>
      <c r="B183" s="25" t="n">
        <v>12</v>
      </c>
      <c r="C183" s="30" t="n">
        <v>13.8</v>
      </c>
      <c r="D183" s="11">
        <f>IF(C183="","",C183*$B$1)</f>
        <v/>
      </c>
      <c r="E183" s="12">
        <f>IF(C183="","",C183-D183)</f>
        <v/>
      </c>
      <c r="F183" s="19">
        <f>IF(OR(B183="",C183=""),"",E183-B183)</f>
        <v/>
      </c>
      <c r="G183" s="21">
        <f>IF(OR(B183="",B183=0),"",F183/B183)</f>
        <v/>
      </c>
      <c r="H183" s="15" t="inlineStr">
        <is>
          <t>https://csfloat.com/item/960862502537793053</t>
        </is>
      </c>
    </row>
    <row r="184" ht="19.5" customHeight="1" s="49">
      <c r="A184" s="6" t="inlineStr">
        <is>
          <t>MP9 | Storm</t>
        </is>
      </c>
      <c r="B184" s="24" t="n">
        <v>0.42</v>
      </c>
      <c r="C184" s="29" t="n">
        <v>1.8</v>
      </c>
      <c r="D184" s="7">
        <f>IF(C184="","",C184*$B$1)</f>
        <v/>
      </c>
      <c r="E184" s="8">
        <f>IF(C184="","",C184-D184)</f>
        <v/>
      </c>
      <c r="F184" s="18">
        <f>IF(OR(B184="",C184=""),"",E184-B184)</f>
        <v/>
      </c>
      <c r="G184" s="20">
        <f>IF(OR(B184="",B184=0),"",F184/B184)</f>
        <v/>
      </c>
      <c r="H184" s="17" t="inlineStr">
        <is>
          <t>https://csfloat.com/item/960613026904539349</t>
        </is>
      </c>
    </row>
    <row r="185" ht="19.5" customHeight="1" s="49">
      <c r="A185" s="10" t="inlineStr">
        <is>
          <t>Sawed-Off | Irradiated Alert</t>
        </is>
      </c>
      <c r="B185" s="25" t="n">
        <v>9.75</v>
      </c>
      <c r="C185" s="30" t="n">
        <v>14</v>
      </c>
      <c r="D185" s="11">
        <f>IF(C185="","",C185*$B$1)</f>
        <v/>
      </c>
      <c r="E185" s="12">
        <f>IF(C185="","",C185-D185)</f>
        <v/>
      </c>
      <c r="F185" s="19">
        <f>IF(OR(B185="",C185=""),"",E185-B185)</f>
        <v/>
      </c>
      <c r="G185" s="21">
        <f>IF(OR(B185="",B185=0),"",F185/B185)</f>
        <v/>
      </c>
      <c r="H185" s="15" t="inlineStr">
        <is>
          <t>https://csfloat.com/item/960731975050725575</t>
        </is>
      </c>
    </row>
    <row r="186" ht="19.5" customHeight="1" s="49">
      <c r="A186" s="6" t="inlineStr">
        <is>
          <t>Mix</t>
        </is>
      </c>
      <c r="B186" s="24" t="n">
        <v>3</v>
      </c>
      <c r="C186" s="29" t="n">
        <v>5</v>
      </c>
      <c r="D186" s="7">
        <f>IF(C186="","",C186*$B$1)</f>
        <v/>
      </c>
      <c r="E186" s="8">
        <f>IF(C186="","",C186-D186)</f>
        <v/>
      </c>
      <c r="F186" s="18">
        <f>IF(OR(B186="",C186=""),"",E186-B186)</f>
        <v/>
      </c>
      <c r="G186" s="20">
        <f>IF(OR(B186="",B186=0),"",F186/B186)</f>
        <v/>
      </c>
      <c r="H186" s="17" t="inlineStr">
        <is>
          <t>https://csfloat.com/item/946106389858750158, https://csfloat.com/item/947801618236181684</t>
        </is>
      </c>
      <c r="L186" s="16" t="inlineStr">
        <is>
          <t>https://csfloat.com/item/948911799212838069</t>
        </is>
      </c>
      <c r="Q186" s="16" t="inlineStr">
        <is>
          <t>https://csfloat.com/item/951450005997227289</t>
        </is>
      </c>
      <c r="V186" s="16" t="inlineStr">
        <is>
          <t>https://csfloat.com/item/955066633146208125</t>
        </is>
      </c>
      <c r="AA186" s="16" t="inlineStr">
        <is>
          <t>https://csfloat.com/item/942959435742054935</t>
        </is>
      </c>
      <c r="AE186" s="16" t="inlineStr">
        <is>
          <t>https://csfloat.com/item/954546326824157435</t>
        </is>
      </c>
      <c r="AJ186" s="16" t="inlineStr">
        <is>
          <t>https://csfloat.com/item/954881384474870444</t>
        </is>
      </c>
    </row>
    <row r="187" ht="19.5" customHeight="1" s="49">
      <c r="A187" s="10" t="inlineStr">
        <is>
          <t>Sawed-Off | Irradiated Alert</t>
        </is>
      </c>
      <c r="B187" s="25" t="n">
        <v>9.050000000000001</v>
      </c>
      <c r="C187" s="30" t="n">
        <v>12.5</v>
      </c>
      <c r="D187" s="11">
        <f>IF(C187="","",C187*$B$1)</f>
        <v/>
      </c>
      <c r="E187" s="12">
        <f>IF(C187="","",C187-D187)</f>
        <v/>
      </c>
      <c r="F187" s="19">
        <f>IF(OR(B187="",C187=""),"",E187-B187)</f>
        <v/>
      </c>
      <c r="G187" s="21">
        <f>IF(OR(B187="",B187=0),"",F187/B187)</f>
        <v/>
      </c>
      <c r="H187" s="15" t="inlineStr">
        <is>
          <t>https://csfloat.com/item/961365813804270647</t>
        </is>
      </c>
    </row>
    <row r="188" ht="19.5" customHeight="1" s="49">
      <c r="A188" s="6" t="inlineStr">
        <is>
          <t>MAG-7 | Sand Dune</t>
        </is>
      </c>
      <c r="B188" s="24" t="n">
        <v>1.38</v>
      </c>
      <c r="C188" s="29" t="n">
        <v>2.65</v>
      </c>
      <c r="D188" s="7">
        <f>IF(C188="","",C188*$B$1)</f>
        <v/>
      </c>
      <c r="E188" s="8">
        <f>IF(C188="","",C188-D188)</f>
        <v/>
      </c>
      <c r="F188" s="18">
        <f>IF(OR(B188="",C188=""),"",E188-B188)</f>
        <v/>
      </c>
      <c r="G188" s="20">
        <f>IF(OR(B188="",B188=0),"",F188/B188)</f>
        <v/>
      </c>
      <c r="H188" s="17" t="inlineStr">
        <is>
          <t>https://csfloat.com/item/961503845022830574</t>
        </is>
      </c>
    </row>
    <row r="189" ht="19.5" customHeight="1" s="49">
      <c r="A189" s="10" t="inlineStr">
        <is>
          <t>UMP-45 | Indigo</t>
        </is>
      </c>
      <c r="B189" s="25" t="n">
        <v>1.17</v>
      </c>
      <c r="C189" s="30" t="n">
        <v>3.4</v>
      </c>
      <c r="D189" s="11">
        <f>IF(C189="","",C189*$B$1)</f>
        <v/>
      </c>
      <c r="E189" s="12">
        <f>IF(C189="","",C189-D189)</f>
        <v/>
      </c>
      <c r="F189" s="19">
        <f>IF(OR(B189="",C189=""),"",E189-B189)</f>
        <v/>
      </c>
      <c r="G189" s="21">
        <f>IF(OR(B189="",B189=0),"",F189/B189)</f>
        <v/>
      </c>
      <c r="H189" s="15" t="inlineStr">
        <is>
          <t>https://csfloat.com/item/961580822488548075</t>
        </is>
      </c>
    </row>
    <row r="190" ht="19.5" customHeight="1" s="49">
      <c r="A190" s="6" t="inlineStr">
        <is>
          <t>P90 | Scorched</t>
        </is>
      </c>
      <c r="B190" s="24" t="n">
        <v>0.67</v>
      </c>
      <c r="C190" s="29" t="n">
        <v>3.05</v>
      </c>
      <c r="D190" s="7">
        <f>IF(C190="","",C190*$B$1)</f>
        <v/>
      </c>
      <c r="E190" s="8">
        <f>IF(C190="","",C190-D190)</f>
        <v/>
      </c>
      <c r="F190" s="18">
        <f>IF(OR(B190="",C190=""),"",E190-B190)</f>
        <v/>
      </c>
      <c r="G190" s="20">
        <f>IF(OR(B190="",B190=0),"",F190/B190)</f>
        <v/>
      </c>
      <c r="H190" s="17" t="inlineStr">
        <is>
          <t>https://csfloat.com/item/961626373775033887</t>
        </is>
      </c>
    </row>
    <row r="191" ht="19.5" customHeight="1" s="49">
      <c r="A191" s="10" t="inlineStr">
        <is>
          <t>PP-Bizon | Urban Dashed</t>
        </is>
      </c>
      <c r="B191" s="25" t="n">
        <v>0.17</v>
      </c>
      <c r="C191" s="30" t="n">
        <v>4.2</v>
      </c>
      <c r="D191" s="11">
        <f>IF(C191="","",C191*$B$1)</f>
        <v/>
      </c>
      <c r="E191" s="12">
        <f>IF(C191="","",C191-D191)</f>
        <v/>
      </c>
      <c r="F191" s="19">
        <f>IF(OR(B191="",C191=""),"",E191-B191)</f>
        <v/>
      </c>
      <c r="G191" s="21">
        <f>IF(OR(B191="",B191=0),"",F191/B191)</f>
        <v/>
      </c>
      <c r="H191" s="15" t="inlineStr">
        <is>
          <t>https://csfloat.com/item/961652134871437063</t>
        </is>
      </c>
    </row>
    <row r="192" ht="19.5" customHeight="1" s="49">
      <c r="A192" s="6" t="inlineStr">
        <is>
          <t>G3SG1 | Safari Mesh</t>
        </is>
      </c>
      <c r="B192" s="24" t="n">
        <v>1.12</v>
      </c>
      <c r="C192" s="29" t="n">
        <v>3.8</v>
      </c>
      <c r="D192" s="7">
        <f>IF(C192="","",C192*$B$1)</f>
        <v/>
      </c>
      <c r="E192" s="8">
        <f>IF(C192="","",C192-D192)</f>
        <v/>
      </c>
      <c r="F192" s="18">
        <f>IF(OR(B192="",C192=""),"",E192-B192)</f>
        <v/>
      </c>
      <c r="G192" s="20">
        <f>IF(OR(B192="",B192=0),"",F192/B192)</f>
        <v/>
      </c>
      <c r="H192" s="17" t="inlineStr">
        <is>
          <t>https://csfloat.com/item/961958831401862559</t>
        </is>
      </c>
    </row>
    <row r="193" ht="19.5" customHeight="1" s="49">
      <c r="A193" s="10" t="inlineStr">
        <is>
          <t>AK-47 | Redline</t>
        </is>
      </c>
      <c r="B193" s="25" t="n">
        <v>200</v>
      </c>
      <c r="C193" s="30" t="n">
        <v>225</v>
      </c>
      <c r="D193" s="11">
        <f>IF(C193="","",C193*$B$1)</f>
        <v/>
      </c>
      <c r="E193" s="12">
        <f>IF(C193="","",C193-D193)</f>
        <v/>
      </c>
      <c r="F193" s="19">
        <f>IF(OR(B193="",C193=""),"",E193-B193)</f>
        <v/>
      </c>
      <c r="G193" s="21">
        <f>IF(OR(B193="",B193=0),"",F193/B193)</f>
        <v/>
      </c>
      <c r="H193" s="15" t="inlineStr">
        <is>
          <t>https://csfloat.com/item/961968839082512054</t>
        </is>
      </c>
    </row>
    <row r="194" ht="19.5" customHeight="1" s="49">
      <c r="A194" s="6" t="inlineStr">
        <is>
          <t>UMP-45 | Indigo</t>
        </is>
      </c>
      <c r="B194" s="24" t="n">
        <v>1.03</v>
      </c>
      <c r="C194" s="29" t="n">
        <v>3.45</v>
      </c>
      <c r="D194" s="7">
        <f>IF(C194="","",C194*$B$1)</f>
        <v/>
      </c>
      <c r="E194" s="8">
        <f>IF(C194="","",C194-D194)</f>
        <v/>
      </c>
      <c r="F194" s="18">
        <f>IF(OR(B194="",C194=""),"",E194-B194)</f>
        <v/>
      </c>
      <c r="G194" s="20">
        <f>IF(OR(B194="",B194=0),"",F194/B194)</f>
        <v/>
      </c>
      <c r="H194" s="17" t="inlineStr">
        <is>
          <t>https://csfloat.com/item/962410023550583376</t>
        </is>
      </c>
    </row>
    <row r="195" ht="19.5" customHeight="1" s="49">
      <c r="A195" s="10" t="inlineStr">
        <is>
          <t>P90 | Scorched</t>
        </is>
      </c>
      <c r="B195" s="25" t="n">
        <v>1.12</v>
      </c>
      <c r="C195" s="30" t="n">
        <v>2.9</v>
      </c>
      <c r="D195" s="11">
        <f>IF(C195="","",C195*$B$1)</f>
        <v/>
      </c>
      <c r="E195" s="12">
        <f>IF(C195="","",C195-D195)</f>
        <v/>
      </c>
      <c r="F195" s="19">
        <f>IF(OR(B195="",C195=""),"",E195-B195)</f>
        <v/>
      </c>
      <c r="G195" s="21">
        <f>IF(OR(B195="",B195=0),"",F195/B195)</f>
        <v/>
      </c>
      <c r="H195" s="15" t="inlineStr">
        <is>
          <t>https://csfloat.com/item/962438688053267379</t>
        </is>
      </c>
    </row>
    <row r="196" ht="19.5" customHeight="1" s="49">
      <c r="A196" s="6" t="inlineStr">
        <is>
          <t>M4A1-S | Black Lotus</t>
        </is>
      </c>
      <c r="B196" s="24" t="n">
        <v>10.04</v>
      </c>
      <c r="C196" s="29" t="n">
        <v>11</v>
      </c>
      <c r="D196" s="7">
        <f>IF(C196="","",C196*$B$1)</f>
        <v/>
      </c>
      <c r="E196" s="8">
        <f>IF(C196="","",C196-D196)</f>
        <v/>
      </c>
      <c r="F196" s="18">
        <f>IF(OR(B196="",C196=""),"",E196-B196)</f>
        <v/>
      </c>
      <c r="G196" s="20">
        <f>IF(OR(B196="",B196=0),"",F196/B196)</f>
        <v/>
      </c>
      <c r="H196" s="17" t="inlineStr">
        <is>
          <t>https://csfloat.com/item/962300317385492169</t>
        </is>
      </c>
    </row>
    <row r="197" ht="19.5" customHeight="1" s="49">
      <c r="A197" s="10" t="inlineStr">
        <is>
          <t>MAG-7 | Irradiated Alert</t>
        </is>
      </c>
      <c r="B197" s="25" t="n">
        <v>9.630000000000001</v>
      </c>
      <c r="C197" s="30" t="n">
        <v>14.5</v>
      </c>
      <c r="D197" s="11">
        <f>IF(C197="","",C197*$B$1)</f>
        <v/>
      </c>
      <c r="E197" s="12">
        <f>IF(C197="","",C197-D197)</f>
        <v/>
      </c>
      <c r="F197" s="19">
        <f>IF(OR(B197="",C197=""),"",E197-B197)</f>
        <v/>
      </c>
      <c r="G197" s="21">
        <f>IF(OR(B197="",B197=0),"",F197/B197)</f>
        <v/>
      </c>
      <c r="H197" s="15" t="inlineStr">
        <is>
          <t>https://csfloat.com/item/962663033027560205</t>
        </is>
      </c>
    </row>
    <row r="198" ht="19.5" customHeight="1" s="49">
      <c r="A198" s="6" t="inlineStr">
        <is>
          <t>P2000 | Grassland</t>
        </is>
      </c>
      <c r="B198" s="24" t="n">
        <v>0.08</v>
      </c>
      <c r="C198" s="29" t="n">
        <v>4.5</v>
      </c>
      <c r="D198" s="7">
        <f>IF(C198="","",C198*$B$1)</f>
        <v/>
      </c>
      <c r="E198" s="8">
        <f>IF(C198="","",C198-D198)</f>
        <v/>
      </c>
      <c r="F198" s="18">
        <f>IF(OR(B198="",C198=""),"",E198-B198)</f>
        <v/>
      </c>
      <c r="G198" s="20">
        <f>IF(OR(B198="",B198=0),"",F198/B198)</f>
        <v/>
      </c>
      <c r="H198" s="17" t="inlineStr">
        <is>
          <t>https://csfloat.com/item/963046702703578929</t>
        </is>
      </c>
    </row>
    <row r="199" ht="19.5" customHeight="1" s="49">
      <c r="A199" s="10" t="inlineStr">
        <is>
          <t>UMP-45 | Indigo</t>
        </is>
      </c>
      <c r="B199" s="25" t="n">
        <v>1.24</v>
      </c>
      <c r="C199" s="30" t="n">
        <v>4.2</v>
      </c>
      <c r="D199" s="11">
        <f>IF(C199="","",C199*$B$1)</f>
        <v/>
      </c>
      <c r="E199" s="12">
        <f>IF(C199="","",C199-D199)</f>
        <v/>
      </c>
      <c r="F199" s="19">
        <f>IF(OR(B199="",C199=""),"",E199-B199)</f>
        <v/>
      </c>
      <c r="G199" s="21">
        <f>IF(OR(B199="",B199=0),"",F199/B199)</f>
        <v/>
      </c>
      <c r="H199" s="15" t="inlineStr">
        <is>
          <t>https://csfloat.com/item/962711846069077559</t>
        </is>
      </c>
    </row>
    <row r="200" ht="19.5" customHeight="1" s="49">
      <c r="A200" s="6" t="inlineStr">
        <is>
          <t>Desert Eagle | Light Rail (+$1 charm sold)</t>
        </is>
      </c>
      <c r="B200" s="24" t="n">
        <v>8.140000000000001</v>
      </c>
      <c r="C200" s="29" t="n">
        <v>10.8</v>
      </c>
      <c r="D200" s="7">
        <f>IF(C200="","",C200*$B$1)</f>
        <v/>
      </c>
      <c r="E200" s="8">
        <f>IF(C200="","",C200-D200)</f>
        <v/>
      </c>
      <c r="F200" s="18">
        <f>IF(OR(B200="",C200=""),"",E200-B200)</f>
        <v/>
      </c>
      <c r="G200" s="20">
        <f>IF(OR(B200="",B200=0),"",F200/B200)</f>
        <v/>
      </c>
      <c r="H200" s="17" t="inlineStr">
        <is>
          <t>https://csfloat.com/item/961574156326014238</t>
        </is>
      </c>
    </row>
    <row r="201" ht="19.5" customHeight="1" s="49">
      <c r="A201" s="10" t="inlineStr">
        <is>
          <t>MAG-7 | Irradiated Alert</t>
        </is>
      </c>
      <c r="B201" s="25" t="n">
        <v>1.12</v>
      </c>
      <c r="C201" s="30" t="n">
        <v>3.1</v>
      </c>
      <c r="D201" s="11">
        <f>IF(C201="","",C201*$B$1)</f>
        <v/>
      </c>
      <c r="E201" s="12">
        <f>IF(C201="","",C201-D201)</f>
        <v/>
      </c>
      <c r="F201" s="19">
        <f>IF(OR(B201="",C201=""),"",E201-B201)</f>
        <v/>
      </c>
      <c r="G201" s="21">
        <f>IF(OR(B201="",B201=0),"",F201/B201)</f>
        <v/>
      </c>
      <c r="H201" s="15" t="inlineStr">
        <is>
          <t>https://csfloat.com/item/962712874139124199</t>
        </is>
      </c>
    </row>
    <row r="202" ht="19.5" customHeight="1" s="49">
      <c r="A202" s="6" t="inlineStr">
        <is>
          <t>MAG-7 | Sand Dune</t>
        </is>
      </c>
      <c r="B202" s="24" t="n">
        <v>0.43</v>
      </c>
      <c r="C202" s="29" t="n">
        <v>2.6</v>
      </c>
      <c r="D202" s="7">
        <f>IF(C202="","",C202*$B$1)</f>
        <v/>
      </c>
      <c r="E202" s="8">
        <f>IF(C202="","",C202-D202)</f>
        <v/>
      </c>
      <c r="F202" s="18">
        <f>IF(OR(B202="",C202=""),"",E202-B202)</f>
        <v/>
      </c>
      <c r="G202" s="20">
        <f>IF(OR(B202="",B202=0),"",F202/B202)</f>
        <v/>
      </c>
      <c r="H202" s="17" t="inlineStr">
        <is>
          <t>https://csfloat.com/item/963060015869067519</t>
        </is>
      </c>
    </row>
    <row r="203" ht="19.5" customHeight="1" s="49">
      <c r="A203" s="10" t="inlineStr">
        <is>
          <t>Nova | Walnut</t>
        </is>
      </c>
      <c r="B203" s="25" t="n">
        <v>1.4</v>
      </c>
      <c r="C203" s="30" t="n">
        <v>2.1</v>
      </c>
      <c r="D203" s="11">
        <f>IF(C203="","",C203*$B$1)</f>
        <v/>
      </c>
      <c r="E203" s="12">
        <f>IF(C203="","",C203-D203)</f>
        <v/>
      </c>
      <c r="F203" s="19">
        <f>IF(OR(B203="",C203=""),"",E203-B203)</f>
        <v/>
      </c>
      <c r="G203" s="21">
        <f>IF(OR(B203="",B203=0),"",F203/B203)</f>
        <v/>
      </c>
      <c r="H203" s="15" t="inlineStr">
        <is>
          <t>https://csfloat.com/item/963089295399324293</t>
        </is>
      </c>
    </row>
    <row r="204" ht="19.5" customHeight="1" s="49">
      <c r="A204" s="6" t="inlineStr">
        <is>
          <t>PP-Bizon | Irradiated Alert</t>
        </is>
      </c>
      <c r="B204" s="24" t="n">
        <v>0.46</v>
      </c>
      <c r="C204" s="29" t="n">
        <v>2.3</v>
      </c>
      <c r="D204" s="7">
        <f>IF(C204="","",C204*$B$1)</f>
        <v/>
      </c>
      <c r="E204" s="8">
        <f>IF(C204="","",C204-D204)</f>
        <v/>
      </c>
      <c r="F204" s="18">
        <f>IF(OR(B204="",C204=""),"",E204-B204)</f>
        <v/>
      </c>
      <c r="G204" s="20">
        <f>IF(OR(B204="",B204=0),"",F204/B204)</f>
        <v/>
      </c>
      <c r="H204" s="17" t="inlineStr">
        <is>
          <t>https://csfloat.com/item/963390180134358800</t>
        </is>
      </c>
    </row>
    <row r="205" ht="19.5" customHeight="1" s="49">
      <c r="A205" s="10" t="inlineStr">
        <is>
          <t>Nova | Walnut</t>
        </is>
      </c>
      <c r="B205" s="25" t="n">
        <v>1.12</v>
      </c>
      <c r="C205" s="30" t="n">
        <v>2.9</v>
      </c>
      <c r="D205" s="11">
        <f>IF(C205="","",C205*$B$1)</f>
        <v/>
      </c>
      <c r="E205" s="12">
        <f>IF(C205="","",C205-D205)</f>
        <v/>
      </c>
      <c r="F205" s="19">
        <f>IF(OR(B205="",C205=""),"",E205-B205)</f>
        <v/>
      </c>
      <c r="G205" s="21">
        <f>IF(OR(B205="",B205=0),"",F205/B205)</f>
        <v/>
      </c>
      <c r="H205" s="15" t="inlineStr">
        <is>
          <t>https://csfloat.com/item/963404806863588114</t>
        </is>
      </c>
    </row>
    <row r="206" ht="19.5" customHeight="1" s="49">
      <c r="A206" s="6" t="inlineStr">
        <is>
          <t>P2000 | Grassland</t>
        </is>
      </c>
      <c r="B206" s="24" t="n">
        <v>0.06</v>
      </c>
      <c r="C206" s="29" t="n">
        <v>16</v>
      </c>
      <c r="D206" s="7">
        <f>IF(C206="","",C206*$B$1)</f>
        <v/>
      </c>
      <c r="E206" s="8">
        <f>IF(C206="","",C206-D206)</f>
        <v/>
      </c>
      <c r="F206" s="18">
        <f>IF(OR(B206="",C206=""),"",E206-B206)</f>
        <v/>
      </c>
      <c r="G206" s="20">
        <f>IF(OR(B206="",B206=0),"",F206/B206)</f>
        <v/>
      </c>
      <c r="H206" s="17" t="inlineStr">
        <is>
          <t>https://csfloat.com/item/963720367988409030</t>
        </is>
      </c>
    </row>
    <row r="207" ht="19.5" customHeight="1" s="49">
      <c r="A207" s="10" t="inlineStr">
        <is>
          <t>MAG-7 | Sand Dune</t>
        </is>
      </c>
      <c r="B207" s="25" t="n">
        <v>1.66</v>
      </c>
      <c r="C207" s="30" t="n">
        <v>3.1</v>
      </c>
      <c r="D207" s="11">
        <f>IF(C207="","",C207*$B$1)</f>
        <v/>
      </c>
      <c r="E207" s="12">
        <f>IF(C207="","",C207-D207)</f>
        <v/>
      </c>
      <c r="F207" s="19">
        <f>IF(OR(B207="",C207=""),"",E207-B207)</f>
        <v/>
      </c>
      <c r="G207" s="21">
        <f>IF(OR(B207="",B207=0),"",F207/B207)</f>
        <v/>
      </c>
      <c r="H207" s="15" t="inlineStr">
        <is>
          <t>https://csfloat.com/item/963858679130623075</t>
        </is>
      </c>
    </row>
    <row r="208" ht="19.5" customHeight="1" s="49">
      <c r="A208" s="6" t="inlineStr">
        <is>
          <t>Sawed-Off | Irradiated Alert</t>
        </is>
      </c>
      <c r="B208" s="24" t="n">
        <v>3.46</v>
      </c>
      <c r="C208" s="29" t="n">
        <v>15</v>
      </c>
      <c r="D208" s="7">
        <f>IF(C208="","",C208*$B$1)</f>
        <v/>
      </c>
      <c r="E208" s="8">
        <f>IF(C208="","",C208-D208)</f>
        <v/>
      </c>
      <c r="F208" s="18">
        <f>IF(OR(B208="",C208=""),"",E208-B208)</f>
        <v/>
      </c>
      <c r="G208" s="20">
        <f>IF(OR(B208="",B208=0),"",F208/B208)</f>
        <v/>
      </c>
      <c r="H208" s="17" t="inlineStr">
        <is>
          <t>https://csfloat.com/item/964099031791961772</t>
        </is>
      </c>
    </row>
    <row r="209" ht="19.5" customHeight="1" s="49">
      <c r="A209" s="10" t="inlineStr">
        <is>
          <t>Nova | Walnut</t>
        </is>
      </c>
      <c r="B209" s="25" t="n">
        <v>0.52</v>
      </c>
      <c r="C209" s="30" t="n">
        <v>3.1</v>
      </c>
      <c r="D209" s="11">
        <f>IF(C209="","",C209*$B$1)</f>
        <v/>
      </c>
      <c r="E209" s="12">
        <f>IF(C209="","",C209-D209)</f>
        <v/>
      </c>
      <c r="F209" s="19">
        <f>IF(OR(B209="",C209=""),"",E209-B209)</f>
        <v/>
      </c>
      <c r="G209" s="21">
        <f>IF(OR(B209="",B209=0),"",F209/B209)</f>
        <v/>
      </c>
      <c r="H209" s="15" t="inlineStr">
        <is>
          <t>https://csfloat.com/item/964524834472201413</t>
        </is>
      </c>
    </row>
    <row r="210" ht="19.5" customHeight="1" s="49">
      <c r="A210" s="6" t="inlineStr">
        <is>
          <t>MAC-10 | Rangeen</t>
        </is>
      </c>
      <c r="B210" s="24" t="n">
        <v>2.49</v>
      </c>
      <c r="C210" s="29" t="n">
        <v>9</v>
      </c>
      <c r="D210" s="7">
        <f>IF(C210="","",C210*$B$1)</f>
        <v/>
      </c>
      <c r="E210" s="8">
        <f>IF(C210="","",C210-D210)</f>
        <v/>
      </c>
      <c r="F210" s="18">
        <f>IF(OR(B210="",C210=""),"",E210-B210)</f>
        <v/>
      </c>
      <c r="G210" s="20">
        <f>IF(OR(B210="",B210=0),"",F210/B210)</f>
        <v/>
      </c>
      <c r="H210" s="17" t="inlineStr">
        <is>
          <t>https://csfloat.com/item/961001226261105988</t>
        </is>
      </c>
    </row>
    <row r="211" ht="19.5" customHeight="1" s="49">
      <c r="A211" s="10" t="inlineStr">
        <is>
          <t>SCAR-20 | Sand Mesh</t>
        </is>
      </c>
      <c r="B211" s="25" t="n">
        <v>1.38</v>
      </c>
      <c r="C211" s="30" t="n">
        <v>2.3</v>
      </c>
      <c r="D211" s="11">
        <f>IF(C211="","",C211*$B$1)</f>
        <v/>
      </c>
      <c r="E211" s="12">
        <f>IF(C211="","",C211-D211)</f>
        <v/>
      </c>
      <c r="F211" s="19">
        <f>IF(OR(B211="",C211=""),"",E211-B211)</f>
        <v/>
      </c>
      <c r="G211" s="21">
        <f>IF(OR(B211="",B211=0),"",F211/B211)</f>
        <v/>
      </c>
      <c r="H211" s="15" t="inlineStr">
        <is>
          <t>https://csfloat.com/item/964914407253607817</t>
        </is>
      </c>
    </row>
    <row r="212" ht="19.5" customHeight="1" s="49">
      <c r="A212" s="6" t="inlineStr">
        <is>
          <t>Nova | Walnut</t>
        </is>
      </c>
      <c r="B212" s="24" t="n">
        <v>1.4</v>
      </c>
      <c r="C212" s="29" t="n">
        <v>2.2</v>
      </c>
      <c r="D212" s="7">
        <f>IF(C212="","",C212*$B$1)</f>
        <v/>
      </c>
      <c r="E212" s="8">
        <f>IF(C212="","",C212-D212)</f>
        <v/>
      </c>
      <c r="F212" s="18">
        <f>IF(OR(B212="",C212=""),"",E212-B212)</f>
        <v/>
      </c>
      <c r="G212" s="20">
        <f>IF(OR(B212="",B212=0),"",F212/B212)</f>
        <v/>
      </c>
      <c r="H212" s="17" t="inlineStr">
        <is>
          <t>https://csfloat.com/item/965007350320728889</t>
        </is>
      </c>
    </row>
    <row r="213" ht="19.5" customHeight="1" s="49">
      <c r="A213" s="10" t="inlineStr">
        <is>
          <t>SSG 08 | Blue Spruce</t>
        </is>
      </c>
      <c r="B213" s="25" t="n">
        <v>59.2</v>
      </c>
      <c r="C213" s="30" t="n">
        <v>63.6</v>
      </c>
      <c r="D213" s="11">
        <f>IF(C213="","",C213*$B$1)</f>
        <v/>
      </c>
      <c r="E213" s="12">
        <f>IF(C213="","",C213-D213)</f>
        <v/>
      </c>
      <c r="F213" s="19">
        <f>IF(OR(B213="",C213=""),"",E213-B213)</f>
        <v/>
      </c>
      <c r="G213" s="21">
        <f>IF(OR(B213="",B213=0),"",F213/B213)</f>
        <v/>
      </c>
      <c r="H213" s="15" t="inlineStr">
        <is>
          <t>https://csfloat.com/item/965569327971568522</t>
        </is>
      </c>
    </row>
    <row r="214" ht="19.5" customHeight="1" s="49">
      <c r="A214" s="6" t="inlineStr">
        <is>
          <t>Five-SeveN | Forest Night</t>
        </is>
      </c>
      <c r="B214" s="24" t="n">
        <v>0.36</v>
      </c>
      <c r="C214" s="29" t="n">
        <v>2.2</v>
      </c>
      <c r="D214" s="7">
        <f>IF(C214="","",C214*$B$1)</f>
        <v/>
      </c>
      <c r="E214" s="8">
        <f>IF(C214="","",C214-D214)</f>
        <v/>
      </c>
      <c r="F214" s="18">
        <f>IF(OR(B214="",C214=""),"",E214-B214)</f>
        <v/>
      </c>
      <c r="G214" s="20">
        <f>IF(OR(B214="",B214=0),"",F214/B214)</f>
        <v/>
      </c>
      <c r="H214" s="17" t="inlineStr">
        <is>
          <t>https://csfloat.com/item/965220218630702759</t>
        </is>
      </c>
    </row>
    <row r="215" ht="19.5" customHeight="1" s="49">
      <c r="A215" s="10" t="inlineStr">
        <is>
          <t>SG 553 | Gator Mesh</t>
        </is>
      </c>
      <c r="B215" s="25" t="n">
        <v>0.9399999999999999</v>
      </c>
      <c r="C215" s="30" t="n">
        <v>5.2</v>
      </c>
      <c r="D215" s="11">
        <f>IF(C215="","",C215*$B$1)</f>
        <v/>
      </c>
      <c r="E215" s="12">
        <f>IF(C215="","",C215-D215)</f>
        <v/>
      </c>
      <c r="F215" s="19">
        <f>IF(OR(B215="",C215=""),"",E215-B215)</f>
        <v/>
      </c>
      <c r="G215" s="21">
        <f>IF(OR(B215="",B215=0),"",F215/B215)</f>
        <v/>
      </c>
      <c r="H215" s="15" t="inlineStr">
        <is>
          <t>https://csfloat.com/item/965237120019073325</t>
        </is>
      </c>
    </row>
    <row r="216" ht="19.5" customHeight="1" s="49">
      <c r="A216" s="6" t="inlineStr">
        <is>
          <t>Nova | Walnut</t>
        </is>
      </c>
      <c r="B216" s="24" t="n">
        <v>0.57</v>
      </c>
      <c r="C216" s="29" t="n">
        <v>2.3</v>
      </c>
      <c r="D216" s="7">
        <f>IF(C216="","",C216*$B$1)</f>
        <v/>
      </c>
      <c r="E216" s="8">
        <f>IF(C216="","",C216-D216)</f>
        <v/>
      </c>
      <c r="F216" s="18">
        <f>IF(OR(B216="",C216=""),"",E216-B216)</f>
        <v/>
      </c>
      <c r="G216" s="20">
        <f>IF(OR(B216="",B216=0),"",F216/B216)</f>
        <v/>
      </c>
      <c r="H216" s="17" t="inlineStr">
        <is>
          <t>https://csfloat.com/item/965308030273061280</t>
        </is>
      </c>
    </row>
    <row r="217" ht="19.5" customHeight="1" s="49">
      <c r="A217" s="10" t="inlineStr">
        <is>
          <t>G3SG1 | Safari Mesh</t>
        </is>
      </c>
      <c r="B217" s="25" t="n">
        <v>0.57</v>
      </c>
      <c r="C217" s="30" t="n">
        <v>3.5</v>
      </c>
      <c r="D217" s="11">
        <f>IF(C217="","",C217*$B$1)</f>
        <v/>
      </c>
      <c r="E217" s="12">
        <f>IF(C217="","",C217-D217)</f>
        <v/>
      </c>
      <c r="F217" s="19">
        <f>IF(OR(B217="",C217=""),"",E217-B217)</f>
        <v/>
      </c>
      <c r="G217" s="21">
        <f>IF(OR(B217="",B217=0),"",F217/B217)</f>
        <v/>
      </c>
      <c r="H217" s="15" t="inlineStr">
        <is>
          <t>https://csfloat.com/item/965353105216638610</t>
        </is>
      </c>
    </row>
    <row r="218" ht="19.5" customHeight="1" s="49">
      <c r="A218" s="6" t="inlineStr">
        <is>
          <t>MAG-7 | Sand Dune</t>
        </is>
      </c>
      <c r="B218" s="24" t="n">
        <v>0.46</v>
      </c>
      <c r="C218" s="29" t="n">
        <v>2.1</v>
      </c>
      <c r="D218" s="7">
        <f>IF(C218="","",C218*$B$1)</f>
        <v/>
      </c>
      <c r="E218" s="8">
        <f>IF(C218="","",C218-D218)</f>
        <v/>
      </c>
      <c r="F218" s="18">
        <f>IF(OR(B218="",C218=""),"",E218-B218)</f>
        <v/>
      </c>
      <c r="G218" s="20">
        <f>IF(OR(B218="",B218=0),"",F218/B218)</f>
        <v/>
      </c>
      <c r="H218" s="17" t="inlineStr">
        <is>
          <t>https://csfloat.com/item/965614203257884205</t>
        </is>
      </c>
    </row>
    <row r="219" ht="19.5" customHeight="1" s="49">
      <c r="A219" s="10" t="inlineStr">
        <is>
          <t>G3SG1 | Desert Storm</t>
        </is>
      </c>
      <c r="B219" s="25" t="n">
        <v>2.59</v>
      </c>
      <c r="C219" s="30" t="n">
        <v>3.6</v>
      </c>
      <c r="D219" s="11">
        <f>IF(C219="","",C219*$B$1)</f>
        <v/>
      </c>
      <c r="E219" s="12">
        <f>IF(C219="","",C219-D219)</f>
        <v/>
      </c>
      <c r="F219" s="19">
        <f>IF(OR(B219="",C219=""),"",E219-B219)</f>
        <v/>
      </c>
      <c r="G219" s="21">
        <f>IF(OR(B219="",B219=0),"",F219/B219)</f>
        <v/>
      </c>
      <c r="H219" s="15" t="inlineStr">
        <is>
          <t>https://csfloat.com/item/965637419103814386</t>
        </is>
      </c>
    </row>
    <row r="220" ht="19.5" customHeight="1" s="49">
      <c r="A220" s="6" t="inlineStr">
        <is>
          <t>G3SG1 | Safari Mesh</t>
        </is>
      </c>
      <c r="B220" s="24" t="n">
        <v>0.29</v>
      </c>
      <c r="C220" s="29" t="n">
        <v>1.5</v>
      </c>
      <c r="D220" s="7">
        <f>IF(C220="","",C220*$B$1)</f>
        <v/>
      </c>
      <c r="E220" s="8">
        <f>IF(C220="","",C220-D220)</f>
        <v/>
      </c>
      <c r="F220" s="18">
        <f>IF(OR(B220="",C220=""),"",E220-B220)</f>
        <v/>
      </c>
      <c r="G220" s="20">
        <f>IF(OR(B220="",B220=0),"",F220/B220)</f>
        <v/>
      </c>
      <c r="H220" s="17" t="inlineStr">
        <is>
          <t>https://csfloat.com/item/965685508523034467</t>
        </is>
      </c>
    </row>
    <row r="221" ht="19.5" customHeight="1" s="49">
      <c r="A221" s="10" t="inlineStr">
        <is>
          <t>G3SG1 | Desert Storm</t>
        </is>
      </c>
      <c r="B221" s="25" t="n">
        <v>0.2</v>
      </c>
      <c r="C221" s="30" t="n">
        <v>1.5</v>
      </c>
      <c r="D221" s="11">
        <f>IF(C221="","",C221*$B$1)</f>
        <v/>
      </c>
      <c r="E221" s="12">
        <f>IF(C221="","",C221-D221)</f>
        <v/>
      </c>
      <c r="F221" s="19">
        <f>IF(OR(B221="",C221=""),"",E221-B221)</f>
        <v/>
      </c>
      <c r="G221" s="21">
        <f>IF(OR(B221="",B221=0),"",F221/B221)</f>
        <v/>
      </c>
      <c r="H221" s="15" t="inlineStr">
        <is>
          <t>https://csfloat.com/item/965685709639910362</t>
        </is>
      </c>
    </row>
    <row r="222" ht="19.5" customHeight="1" s="49">
      <c r="A222" s="6" t="inlineStr">
        <is>
          <t>P250 | Sand Dune</t>
        </is>
      </c>
      <c r="B222" s="24" t="n">
        <v>0.71</v>
      </c>
      <c r="C222" s="29" t="n">
        <v>4.1</v>
      </c>
      <c r="D222" s="7">
        <f>IF(C222="","",C222*$B$1)</f>
        <v/>
      </c>
      <c r="E222" s="8">
        <f>IF(C222="","",C222-D222)</f>
        <v/>
      </c>
      <c r="F222" s="18">
        <f>IF(OR(B222="",C222=""),"",E222-B222)</f>
        <v/>
      </c>
      <c r="G222" s="20">
        <f>IF(OR(B222="",B222=0),"",F222/B222)</f>
        <v/>
      </c>
      <c r="H222" s="17" t="inlineStr">
        <is>
          <t>https://csfloat.com/item/965991154627774869</t>
        </is>
      </c>
    </row>
    <row r="223" ht="19.5" customHeight="1" s="49">
      <c r="A223" s="10" t="inlineStr">
        <is>
          <t>M4A1-S | Black Lotus</t>
        </is>
      </c>
      <c r="B223" s="25" t="n">
        <v>19.4</v>
      </c>
      <c r="C223" s="30" t="n">
        <v>22</v>
      </c>
      <c r="D223" s="11">
        <f>IF(C223="","",C223*$B$1)</f>
        <v/>
      </c>
      <c r="E223" s="12">
        <f>IF(C223="","",C223-D223)</f>
        <v/>
      </c>
      <c r="F223" s="19">
        <f>IF(OR(B223="",C223=""),"",E223-B223)</f>
        <v/>
      </c>
      <c r="G223" s="21">
        <f>IF(OR(B223="",B223=0),"",F223/B223)</f>
        <v/>
      </c>
      <c r="H223" s="15" t="inlineStr">
        <is>
          <t>https://csfloat.com/item/966063695807514346</t>
        </is>
      </c>
    </row>
    <row r="224" ht="19.5" customHeight="1" s="49">
      <c r="A224" s="6" t="inlineStr">
        <is>
          <t>G3SG1 | Safari Mesh</t>
        </is>
      </c>
      <c r="B224" s="24" t="n">
        <v>0.84</v>
      </c>
      <c r="C224" s="29" t="n">
        <v>2.6</v>
      </c>
      <c r="D224" s="7">
        <f>IF(C224="","",C224*$B$1)</f>
        <v/>
      </c>
      <c r="E224" s="8">
        <f>IF(C224="","",C224-D224)</f>
        <v/>
      </c>
      <c r="F224" s="18">
        <f>IF(OR(B224="",C224=""),"",E224-B224)</f>
        <v/>
      </c>
      <c r="G224" s="20">
        <f>IF(OR(B224="",B224=0),"",F224/B224)</f>
        <v/>
      </c>
      <c r="H224" s="17" t="inlineStr">
        <is>
          <t>https://csfloat.com/item/966090617539137273</t>
        </is>
      </c>
    </row>
    <row r="225" ht="19.5" customHeight="1" s="49">
      <c r="A225" s="10" t="inlineStr">
        <is>
          <t>MAG-7 | Sand Dune</t>
        </is>
      </c>
      <c r="B225" s="25" t="n">
        <v>0.41</v>
      </c>
      <c r="C225" s="30" t="n">
        <v>2.7</v>
      </c>
      <c r="D225" s="11">
        <f>IF(C225="","",C225*$B$1)</f>
        <v/>
      </c>
      <c r="E225" s="12">
        <f>IF(C225="","",C225-D225)</f>
        <v/>
      </c>
      <c r="F225" s="19">
        <f>IF(OR(B225="",C225=""),"",E225-B225)</f>
        <v/>
      </c>
      <c r="G225" s="21">
        <f>IF(OR(B225="",B225=0),"",F225/B225)</f>
        <v/>
      </c>
      <c r="H225" s="15" t="inlineStr">
        <is>
          <t>https://csfloat.com/item/966201021326033722</t>
        </is>
      </c>
    </row>
    <row r="226" ht="19.5" customHeight="1" s="49">
      <c r="A226" s="6" t="inlineStr">
        <is>
          <t>Sawed-Off | Sage Spray</t>
        </is>
      </c>
      <c r="B226" s="24" t="n">
        <v>0.04</v>
      </c>
      <c r="C226" s="29" t="n">
        <v>2.9</v>
      </c>
      <c r="D226" s="7">
        <f>IF(C226="","",C226*$B$1)</f>
        <v/>
      </c>
      <c r="E226" s="8">
        <f>IF(C226="","",C226-D226)</f>
        <v/>
      </c>
      <c r="F226" s="18">
        <f>IF(OR(B226="",C226=""),"",E226-B226)</f>
        <v/>
      </c>
      <c r="G226" s="20">
        <f>IF(OR(B226="",B226=0),"",F226/B226)</f>
        <v/>
      </c>
      <c r="H226" s="17" t="inlineStr">
        <is>
          <t>https://csfloat.com/item/966307563404659890</t>
        </is>
      </c>
    </row>
    <row r="227" ht="19.5" customHeight="1" s="49">
      <c r="A227" s="10" t="inlineStr">
        <is>
          <t>P250 | Facility Draft</t>
        </is>
      </c>
      <c r="B227" s="25" t="n">
        <v>0.23</v>
      </c>
      <c r="C227" s="30" t="n">
        <v>3.5</v>
      </c>
      <c r="D227" s="11">
        <f>IF(C227="","",C227*$B$1)</f>
        <v/>
      </c>
      <c r="E227" s="12">
        <f>IF(C227="","",C227-D227)</f>
        <v/>
      </c>
      <c r="F227" s="19">
        <f>IF(OR(B227="",C227=""),"",E227-B227)</f>
        <v/>
      </c>
      <c r="G227" s="21">
        <f>IF(OR(B227="",B227=0),"",F227/B227)</f>
        <v/>
      </c>
      <c r="H227" s="15" t="inlineStr">
        <is>
          <t>https://csfloat.com/item/966351602644552156</t>
        </is>
      </c>
    </row>
    <row r="228" ht="19.5" customHeight="1" s="49">
      <c r="A228" s="6" t="inlineStr">
        <is>
          <t>G3SG1 | Safari Mesh</t>
        </is>
      </c>
      <c r="B228" s="24" t="n">
        <v>0.7</v>
      </c>
      <c r="C228" s="29" t="n">
        <v>1.4</v>
      </c>
      <c r="D228" s="7">
        <f>IF(C228="","",C228*$B$1)</f>
        <v/>
      </c>
      <c r="E228" s="8">
        <f>IF(C228="","",C228-D228)</f>
        <v/>
      </c>
      <c r="F228" s="18">
        <f>IF(OR(B228="",C228=""),"",E228-B228)</f>
        <v/>
      </c>
      <c r="G228" s="20">
        <f>IF(OR(B228="",B228=0),"",F228/B228)</f>
        <v/>
      </c>
      <c r="H228" s="17" t="inlineStr">
        <is>
          <t>https://csfloat.com/item/966395755172596994</t>
        </is>
      </c>
    </row>
    <row r="229" ht="19.5" customHeight="1" s="49">
      <c r="A229" s="33" t="inlineStr">
        <is>
          <t>Nova | Walnut</t>
        </is>
      </c>
      <c r="B229" s="25" t="n">
        <v>0.57</v>
      </c>
      <c r="C229" s="30" t="n">
        <v>2.3</v>
      </c>
      <c r="D229" s="11">
        <f>IF(C229="","",C229*$B$1)</f>
        <v/>
      </c>
      <c r="E229" s="12">
        <f>IF(C229="","",C229-D229)</f>
        <v/>
      </c>
      <c r="F229" s="19">
        <f>IF(OR(B229="",C229=""),"",E229-B229)</f>
        <v/>
      </c>
      <c r="G229" s="21">
        <f>IF(OR(B229="",B229=0),"",F229/B229)</f>
        <v/>
      </c>
      <c r="H229" s="15" t="inlineStr">
        <is>
          <t>https://csfloat.com/item/966439444192298041</t>
        </is>
      </c>
    </row>
    <row r="230" ht="19.5" customHeight="1" s="49">
      <c r="A230" s="34" t="inlineStr">
        <is>
          <t>MP7 | Gunsmoke 0.457860261202</t>
        </is>
      </c>
      <c r="B230" s="35" t="n">
        <v>0.5</v>
      </c>
      <c r="C230" s="36" t="n">
        <v>2.2</v>
      </c>
      <c r="D230" s="37">
        <f>C230*$B$1</f>
        <v/>
      </c>
      <c r="E230" s="38">
        <f>C230-D230</f>
        <v/>
      </c>
      <c r="F230" s="39">
        <f>E230-B230</f>
        <v/>
      </c>
      <c r="G230" s="40">
        <f>F230/B230</f>
        <v/>
      </c>
      <c r="H230" s="41" t="n"/>
    </row>
    <row r="231" ht="19.5" customHeight="1" s="49">
      <c r="A231" s="33" t="inlineStr">
        <is>
          <t>MAG-7 | Sand Dune .152819916606</t>
        </is>
      </c>
      <c r="B231" s="42" t="n">
        <v>1.2</v>
      </c>
      <c r="C231" s="43" t="n">
        <v>3.1</v>
      </c>
      <c r="D231" s="44">
        <f>C231*$B$1</f>
        <v/>
      </c>
      <c r="E231" s="45">
        <f>IF(C231="","",C231-D231)</f>
        <v/>
      </c>
      <c r="F231" s="46">
        <f>IF(OR(B231="",C231=""),"",E231-B231)</f>
        <v/>
      </c>
      <c r="G231" s="47">
        <f>IF(OR(B231="",B231=0),"",F231/B231)</f>
        <v/>
      </c>
      <c r="H231" s="48" t="n"/>
    </row>
    <row r="232" ht="19.5" customHeight="1" s="49">
      <c r="A232" s="33" t="inlineStr">
        <is>
          <t>Five-SeveN | Contractor 0.189471766353</t>
        </is>
      </c>
      <c r="B232" s="42" t="n">
        <v>0.46</v>
      </c>
      <c r="C232" s="43" t="n">
        <v>5.8</v>
      </c>
      <c r="D232" s="44">
        <f>IF(C232="","",C232*$B$1)</f>
        <v/>
      </c>
      <c r="E232" s="45">
        <f>IF(C232="","",C232-D232)</f>
        <v/>
      </c>
      <c r="F232" s="46">
        <f>IF(OR(B232="",C232=""),"",E232-B232)</f>
        <v/>
      </c>
      <c r="G232" s="47">
        <f>IF(OR(B232="",B232=0),"",F232/B232)</f>
        <v/>
      </c>
      <c r="H232" s="48" t="n"/>
    </row>
    <row r="233" ht="19.5" customHeight="1" s="49">
      <c r="A233" s="34" t="inlineStr">
        <is>
          <t>MP9 | Sand Dashed 0.746735513210</t>
        </is>
      </c>
      <c r="B233" s="35" t="n">
        <v>0.32</v>
      </c>
      <c r="C233" s="36" t="n">
        <v>3.45</v>
      </c>
      <c r="D233" s="37">
        <f>IF(C233="","",C233*$B$1)</f>
        <v/>
      </c>
      <c r="E233" s="38">
        <f>IF(C233="","",C233-D233)</f>
        <v/>
      </c>
      <c r="F233" s="39">
        <f>IF(OR(B233="",C233=""),"",E233-B233)</f>
        <v/>
      </c>
      <c r="G233" s="40">
        <f>IF(OR(B233="",B233=0),"",F233/B233)</f>
        <v/>
      </c>
      <c r="H233" s="41" t="n"/>
    </row>
    <row r="234" ht="19.5" customHeight="1" s="49">
      <c r="A234" s="33" t="inlineStr">
        <is>
          <t xml:space="preserve">Awp Assimove crown foil </t>
        </is>
      </c>
      <c r="B234" s="42" t="n">
        <v>140</v>
      </c>
      <c r="C234" s="43" t="n">
        <v>195</v>
      </c>
      <c r="D234" s="44">
        <f>IF(C234="","",C234*$B$1)</f>
        <v/>
      </c>
      <c r="E234" s="45">
        <f>IF(C234="","",C234-D234)</f>
        <v/>
      </c>
      <c r="F234" s="46">
        <f>IF(OR(B234="",C234=""),"",E234-B234)</f>
        <v/>
      </c>
      <c r="G234" s="47">
        <f>IF(OR(B234="",B234=0),"",F234/B234)</f>
        <v/>
      </c>
      <c r="H234" s="48" t="n"/>
    </row>
    <row r="235" ht="19.5" customHeight="1" s="49">
      <c r="A235" s="34" t="inlineStr">
        <is>
          <t>MAG-7 | Storm 0.297249525785 Device Gold Krakow</t>
        </is>
      </c>
      <c r="B235" s="35" t="n">
        <v>0.7</v>
      </c>
      <c r="C235" s="36" t="n">
        <v>2.9</v>
      </c>
      <c r="D235" s="37">
        <f>IF(C235="","",C235*$B$1)</f>
        <v/>
      </c>
      <c r="E235" s="38">
        <f>IF(C235="","",C235-D235)</f>
        <v/>
      </c>
      <c r="F235" s="39">
        <f>IF(OR(B235="",C235=""),"",E235-B235)</f>
        <v/>
      </c>
      <c r="G235" s="40">
        <f>IF(OR(B235="",B235=0),"",F235/B235)</f>
        <v/>
      </c>
      <c r="H235" s="41" t="n"/>
    </row>
    <row r="236" ht="19.5" customHeight="1" s="49">
      <c r="A236" s="33" t="inlineStr">
        <is>
          <t>USP-S | Royal Blue 0.383412957191</t>
        </is>
      </c>
      <c r="B236" s="42" t="n">
        <v>12.68</v>
      </c>
      <c r="C236" s="43" t="n">
        <v>16</v>
      </c>
      <c r="D236" s="44">
        <f>IF(C236="","",C236*$B$1)</f>
        <v/>
      </c>
      <c r="E236" s="45">
        <f>IF(C236="","",C236-D236)</f>
        <v/>
      </c>
      <c r="F236" s="46">
        <f>IF(OR(B236="",C236=""),"",E236-B236)</f>
        <v/>
      </c>
      <c r="G236" s="47">
        <f>IF(OR(B236="",B236=0),"",F236/B236)</f>
        <v/>
      </c>
      <c r="H236" s="48" t="n"/>
    </row>
    <row r="237" ht="19.5" customHeight="1" s="49">
      <c r="A237" s="34" t="inlineStr">
        <is>
          <t>SG 553 | Fallout Warning 0.300346434116 Kato 2015 gold</t>
        </is>
      </c>
      <c r="B237" s="35" t="n">
        <v>1.34</v>
      </c>
      <c r="C237" s="36" t="n">
        <v>6.1</v>
      </c>
      <c r="D237" s="37">
        <f>IF(C237="","",C237*$B$1)</f>
        <v/>
      </c>
      <c r="E237" s="38">
        <f>IF(C237="","",C237-D237)</f>
        <v/>
      </c>
      <c r="F237" s="39">
        <f>IF(OR(B237="",C237=""),"",E237-B237)</f>
        <v/>
      </c>
      <c r="G237" s="40">
        <f>IF(OR(B237="",B237=0),"",F237/B237)</f>
        <v/>
      </c>
      <c r="H237" s="41" t="n"/>
    </row>
    <row r="238" ht="19.5" customHeight="1" s="49">
      <c r="A238" s="33" t="inlineStr">
        <is>
          <t>G3SG1 | Desert Storm 0.797657728195</t>
        </is>
      </c>
      <c r="B238" s="42" t="n">
        <v>1.2</v>
      </c>
      <c r="C238" s="43" t="n">
        <v>4.5</v>
      </c>
      <c r="D238" s="44">
        <f>IF(C238="","",C238*$B$1)</f>
        <v/>
      </c>
      <c r="E238" s="45">
        <f>IF(C238="","",C238-D238)</f>
        <v/>
      </c>
      <c r="F238" s="46">
        <f>IF(OR(B238="",C238=""),"",E238-B238)</f>
        <v/>
      </c>
      <c r="G238" s="47">
        <f>IF(OR(B238="",B238=0),"",F238/B238)</f>
        <v/>
      </c>
      <c r="H238" s="48" t="n"/>
    </row>
    <row r="239" ht="19.5" customHeight="1" s="49">
      <c r="A239" s="34" t="inlineStr">
        <is>
          <t>Nova | Polar Mesh 0.217678815126</t>
        </is>
      </c>
      <c r="B239" s="35" t="n">
        <v>0.22</v>
      </c>
      <c r="C239" s="36" t="n">
        <v>2.9</v>
      </c>
      <c r="D239" s="37">
        <f>IF(C239="","",C239*$B$1)</f>
        <v/>
      </c>
      <c r="E239" s="38">
        <f>IF(C239="","",C239-D239)</f>
        <v/>
      </c>
      <c r="F239" s="39">
        <f>IF(OR(B239="",C239=""),"",E239-B239)</f>
        <v/>
      </c>
      <c r="G239" s="40">
        <f>IF(OR(B239="",B239=0),"",F239/B239)</f>
        <v/>
      </c>
      <c r="H239" s="41" t="n"/>
    </row>
    <row r="240" ht="19.5" customHeight="1" s="49">
      <c r="A240" s="34" t="inlineStr">
        <is>
          <t>0.0.384038507938 Nova walnut kato2015</t>
        </is>
      </c>
      <c r="B240" s="35" t="n">
        <v>1.2</v>
      </c>
      <c r="C240" s="36" t="n">
        <v>2.4</v>
      </c>
      <c r="D240" s="37">
        <f>IF(C240="","",C240*$B$1)</f>
        <v/>
      </c>
      <c r="E240" s="38">
        <f>IF(C240="","",C240-D240)</f>
        <v/>
      </c>
      <c r="F240" s="39">
        <f>IF(OR(B240="",C240=""),"",E240-B240)</f>
        <v/>
      </c>
      <c r="G240" s="40">
        <f>IF(OR(B240="",B240=0),"",F240/B240)</f>
        <v/>
      </c>
      <c r="H240" s="41" t="n"/>
    </row>
    <row r="241" ht="19.5" customHeight="1" s="49">
      <c r="A241" s="33" t="inlineStr">
        <is>
          <t>MP9 | Sand Dashed 0.241834059358</t>
        </is>
      </c>
      <c r="B241" s="42" t="n">
        <v>0.24</v>
      </c>
      <c r="C241" s="43" t="n">
        <v>3.4</v>
      </c>
      <c r="D241" s="44">
        <f>IF(C241="","",C241*$B$1)</f>
        <v/>
      </c>
      <c r="E241" s="45">
        <f>IF(C241="","",C241-D241)</f>
        <v/>
      </c>
      <c r="F241" s="46">
        <f>IF(OR(B241="",C241=""),"",E241-B241)</f>
        <v/>
      </c>
      <c r="G241" s="47">
        <f>IF(OR(B241="",B241=0),"",F241/B241)</f>
        <v/>
      </c>
      <c r="H241" s="48" t="n"/>
    </row>
    <row r="242" ht="19.5" customHeight="1" s="49">
      <c r="A242" s="34" t="inlineStr">
        <is>
          <t>SSG 08 Detour Atanta 0.172781</t>
        </is>
      </c>
      <c r="B242" s="35" t="n">
        <v>11.16</v>
      </c>
      <c r="C242" s="36" t="n">
        <v>17.2</v>
      </c>
      <c r="D242" s="37">
        <f>IF(C242="","",C242*$B$1)</f>
        <v/>
      </c>
      <c r="E242" s="38">
        <f>IF(C242="","",C242-D242)</f>
        <v/>
      </c>
      <c r="F242" s="39">
        <f>IF(OR(B242="",C242=""),"",E242-B242)</f>
        <v/>
      </c>
      <c r="G242" s="40">
        <f>IF(OR(B242="",B242=0),"",F242/B242)</f>
        <v/>
      </c>
      <c r="H242" s="41" t="n"/>
    </row>
    <row r="243" ht="19.5" customHeight="1" s="49">
      <c r="A243" s="33" t="inlineStr">
        <is>
          <t>MP9 | Sand Dashed 0.130889981985</t>
        </is>
      </c>
      <c r="B243" s="42" t="n">
        <v>0.83</v>
      </c>
      <c r="C243" s="43" t="n">
        <v>4.1</v>
      </c>
      <c r="D243" s="44">
        <f>IF(C243="","",C243*$B$1)</f>
        <v/>
      </c>
      <c r="E243" s="45">
        <f>IF(C243="","",C243-D243)</f>
        <v/>
      </c>
      <c r="F243" s="46">
        <f>IF(OR(B243="",C243=""),"",E243-B243)</f>
        <v/>
      </c>
      <c r="G243" s="47">
        <f>IF(OR(B243="",B243=0),"",F243/B243)</f>
        <v/>
      </c>
      <c r="H243" s="48" t="n"/>
    </row>
    <row r="244" ht="19.5" customHeight="1" s="49">
      <c r="A244" s="34" t="inlineStr">
        <is>
          <t>Nova | Walnut 0.325330734253</t>
        </is>
      </c>
      <c r="B244" s="35" t="n">
        <v>1.3</v>
      </c>
      <c r="C244" s="36" t="n">
        <v>2.6</v>
      </c>
      <c r="D244" s="37">
        <f>IF(C244="","",C244*$B$1)</f>
        <v/>
      </c>
      <c r="E244" s="38">
        <f>IF(C244="","",C244-D244)</f>
        <v/>
      </c>
      <c r="F244" s="39">
        <f>IF(OR(B244="",C244=""),"",E244-B244)</f>
        <v/>
      </c>
      <c r="G244" s="40">
        <f>IF(OR(B244="",B244=0),"",F244/B244)</f>
        <v/>
      </c>
      <c r="H244" s="41" t="n"/>
    </row>
    <row r="245" ht="19.5" customHeight="1" s="49">
      <c r="A245" s="33" t="inlineStr">
        <is>
          <t>MAG 7 All star holo 0.353214085102</t>
        </is>
      </c>
      <c r="B245" s="42" t="n">
        <v>9.050000000000001</v>
      </c>
      <c r="C245" s="43" t="n">
        <v>15</v>
      </c>
      <c r="D245" s="44">
        <f>IF(C245="","",C245*$B$1)</f>
        <v/>
      </c>
      <c r="E245" s="45">
        <f>IF(C245="","",C245-D245)</f>
        <v/>
      </c>
      <c r="F245" s="46">
        <f>IF(OR(B245="",C245=""),"",E245-B245)</f>
        <v/>
      </c>
      <c r="G245" s="47">
        <f>IF(OR(B245="",B245=0),"",F245/B245)</f>
        <v/>
      </c>
      <c r="H245" s="48" t="n"/>
    </row>
    <row r="246" ht="19.5" customHeight="1" s="49">
      <c r="A246" s="33" t="inlineStr">
        <is>
          <t>UMP-45 | Indigo 0.324368596077</t>
        </is>
      </c>
      <c r="B246" s="42" t="n">
        <v>1.03</v>
      </c>
      <c r="C246" s="43" t="n">
        <v>3.5</v>
      </c>
      <c r="D246" s="44">
        <f>IF(C246="","",C246*$B$1)</f>
        <v/>
      </c>
      <c r="E246" s="45">
        <f>IF(C246="","",C246-D246)</f>
        <v/>
      </c>
      <c r="F246" s="46">
        <f>IF(OR(B246="",C246=""),"",E246-B246)</f>
        <v/>
      </c>
      <c r="G246" s="47">
        <f>IF(OR(B246="",B246=0),"",F246/B246)</f>
        <v/>
      </c>
      <c r="H246" s="48" t="n"/>
    </row>
    <row r="247" ht="19.5" customHeight="1" s="49">
      <c r="A247" s="34" t="inlineStr">
        <is>
          <t>P90  storm 0.62640</t>
        </is>
      </c>
      <c r="B247" s="35" t="n">
        <v>0.74</v>
      </c>
      <c r="C247" s="36" t="n">
        <v>3.5</v>
      </c>
      <c r="D247" s="37">
        <f>IF(C247="","",C247*$B$1)</f>
        <v/>
      </c>
      <c r="E247" s="38">
        <f>IF(C247="","",C247-D247)</f>
        <v/>
      </c>
      <c r="F247" s="39">
        <f>IF(OR(B247="",C247=""),"",E247-B247)</f>
        <v/>
      </c>
      <c r="G247" s="40">
        <f>IF(OR(B247="",B247=0),"",F247/B247)</f>
        <v/>
      </c>
      <c r="H247" s="41" t="n"/>
    </row>
    <row r="248" ht="19.5" customHeight="1" s="49">
      <c r="A248" s="33" t="inlineStr">
        <is>
          <t>G3SG1 | Polar Camo 0.383077621460</t>
        </is>
      </c>
      <c r="B248" s="42" t="n">
        <v>3.01</v>
      </c>
      <c r="C248" s="43" t="n">
        <v>7.5</v>
      </c>
      <c r="D248" s="44">
        <f>IF(C248="","",C248*$B$1)</f>
        <v/>
      </c>
      <c r="E248" s="45">
        <f>IF(C248="","",C248-D248)</f>
        <v/>
      </c>
      <c r="F248" s="46">
        <f>IF(OR(B248="",C248=""),"",E248-B248)</f>
        <v/>
      </c>
      <c r="G248" s="47">
        <f>IF(OR(B248="",B248=0),"",F248/B248)</f>
        <v/>
      </c>
      <c r="H248" s="48" t="n"/>
    </row>
    <row r="249" ht="19.5" customHeight="1" s="49">
      <c r="A249" s="6" t="inlineStr">
        <is>
          <t>Nova | Walnut 0.549327969551</t>
        </is>
      </c>
      <c r="B249" s="24" t="n">
        <v>0.47</v>
      </c>
      <c r="C249" s="29" t="n">
        <v>2.6</v>
      </c>
      <c r="D249" s="7">
        <f>IF(C249="","",C249*$B$1)</f>
        <v/>
      </c>
      <c r="E249" s="8">
        <f>IF(C249="","",C249-D249)</f>
        <v/>
      </c>
      <c r="F249" s="18">
        <f>IF(OR(B249="",C249=""),"",E249-B249)</f>
        <v/>
      </c>
      <c r="G249" s="20">
        <f>IF(OR(B249="",B249=0),"",F249/B249)</f>
        <v/>
      </c>
      <c r="H249" s="9" t="n"/>
    </row>
    <row r="250" ht="19.5" customHeight="1" s="49">
      <c r="A250" s="10" t="inlineStr">
        <is>
          <t>MAG-7 | Irradiated Alert</t>
        </is>
      </c>
      <c r="B250" s="25" t="n">
        <v>0.75</v>
      </c>
      <c r="C250" s="30" t="n">
        <v>13</v>
      </c>
      <c r="D250" s="11">
        <f>IF(C250="","",C250*$B$1)</f>
        <v/>
      </c>
      <c r="E250" s="12">
        <f>IF(C250="","",C250-D250)</f>
        <v/>
      </c>
      <c r="F250" s="19">
        <f>IF(OR(B250="",C250=""),"",E250-B250)</f>
        <v/>
      </c>
      <c r="G250" s="21">
        <f>IF(OR(B250="",B250=0),"",F250/B250)</f>
        <v/>
      </c>
      <c r="H250" s="68" t="inlineStr">
        <is>
          <t>https://csfloat.com/item/969806660791043640</t>
        </is>
      </c>
    </row>
    <row r="251" ht="19.5" customHeight="1" s="49">
      <c r="A251" s="6" t="inlineStr">
        <is>
          <t>MP9 | Storm</t>
        </is>
      </c>
      <c r="B251" s="24" t="n">
        <v>0.28</v>
      </c>
      <c r="C251" s="29" t="n">
        <v>1.1</v>
      </c>
      <c r="D251" s="7">
        <f>IF(C251="","",C251*$B$1)</f>
        <v/>
      </c>
      <c r="E251" s="8">
        <f>IF(C251="","",C251-D251)</f>
        <v/>
      </c>
      <c r="F251" s="18">
        <f>IF(OR(B251="",C251=""),"",E251-B251)</f>
        <v/>
      </c>
      <c r="G251" s="20">
        <f>IF(OR(B251="",B251=0),"",F251/B251)</f>
        <v/>
      </c>
      <c r="H251" s="71" t="inlineStr">
        <is>
          <t>https://csfloat.com/item/970285037222233058</t>
        </is>
      </c>
    </row>
    <row r="252" ht="19.5" customHeight="1" s="49">
      <c r="A252" s="10" t="inlineStr">
        <is>
          <t>Desert Eagle | Printstream</t>
        </is>
      </c>
      <c r="B252" s="25" t="n">
        <v>42.65</v>
      </c>
      <c r="C252" s="30" t="n">
        <v>50</v>
      </c>
      <c r="D252" s="11">
        <f>IF(C252="","",C252*$B$1)</f>
        <v/>
      </c>
      <c r="E252" s="12">
        <f>IF(C252="","",C252-D252)</f>
        <v/>
      </c>
      <c r="F252" s="19">
        <f>IF(OR(B252="",C252=""),"",E252-B252)</f>
        <v/>
      </c>
      <c r="G252" s="69">
        <f>IF(OR(B252="",B252=0),"",F252/B252)</f>
        <v/>
      </c>
      <c r="H252" s="72" t="inlineStr">
        <is>
          <t>https://csfloat.com/item/970353608669400514</t>
        </is>
      </c>
    </row>
    <row r="253" ht="19.5" customHeight="1" s="49">
      <c r="A253" s="6" t="inlineStr">
        <is>
          <t>Sawed-Off | Sage Spray</t>
        </is>
      </c>
      <c r="B253" s="24" t="n">
        <v>0.08</v>
      </c>
      <c r="C253" s="29" t="n">
        <v>18</v>
      </c>
      <c r="D253" s="7">
        <f>IF(C253="","",C253*$B$1)</f>
        <v/>
      </c>
      <c r="E253" s="8">
        <f>IF(C253="","",C253-D253)</f>
        <v/>
      </c>
      <c r="F253" s="18">
        <f>IF(OR(B253="",C253=""),"",E253-B253)</f>
        <v/>
      </c>
      <c r="G253" s="70">
        <f>IF(OR(B253="",B253=0),"",F253/B253)</f>
        <v/>
      </c>
      <c r="H253" s="73" t="inlineStr">
        <is>
          <t>https://csfloat.com/item/970151789611582031</t>
        </is>
      </c>
    </row>
    <row r="254" ht="19.5" customHeight="1" s="49">
      <c r="A254" s="33" t="inlineStr">
        <is>
          <t>MP9 | Storm</t>
        </is>
      </c>
      <c r="B254" s="25" t="n">
        <v>0.24</v>
      </c>
      <c r="C254" s="30" t="n">
        <v>12</v>
      </c>
      <c r="D254" s="11">
        <f>IF(C254="","",C254*$B$1)</f>
        <v/>
      </c>
      <c r="E254" s="12">
        <f>IF(C254="","",C254-D254)</f>
        <v/>
      </c>
      <c r="F254" s="19">
        <f>IF(OR(B254="",C254=""),"",E254-B254)</f>
        <v/>
      </c>
      <c r="G254" s="69">
        <f>IF(OR(B254="",B254=0),"",F254/B254)</f>
        <v/>
      </c>
      <c r="H254" s="72" t="inlineStr">
        <is>
          <t>https://csfloat.com/item/970294094020612086</t>
        </is>
      </c>
    </row>
    <row r="255" ht="19.5" customHeight="1" s="49">
      <c r="A255" s="34" t="inlineStr">
        <is>
          <t>MAG-7 | Sand Dune</t>
        </is>
      </c>
      <c r="B255" s="24" t="n">
        <v>7.17</v>
      </c>
      <c r="C255" s="29" t="n">
        <v>13.2</v>
      </c>
      <c r="D255" s="7">
        <f>IF(C255="","",C255*$B$1)</f>
        <v/>
      </c>
      <c r="E255" s="8">
        <f>IF(C255="","",C255-D255)</f>
        <v/>
      </c>
      <c r="F255" s="18">
        <f>IF(OR(B255="",C255=""),"",E255-B255)</f>
        <v/>
      </c>
      <c r="G255" s="70">
        <f>IF(OR(B255="",B255=0),"",F255/B255)</f>
        <v/>
      </c>
      <c r="H255" s="73" t="inlineStr">
        <is>
          <t>https://csfloat.com/item/970336958834411583</t>
        </is>
      </c>
    </row>
    <row r="256" ht="19.5" customHeight="1" s="49">
      <c r="A256" s="33" t="inlineStr">
        <is>
          <t>M249 | Contrast Spray</t>
        </is>
      </c>
      <c r="B256" s="25" t="n">
        <v>6.75</v>
      </c>
      <c r="C256" s="30" t="n">
        <v>9.5</v>
      </c>
      <c r="D256" s="11">
        <f>IF(C256="","",C256*$B$1)</f>
        <v/>
      </c>
      <c r="E256" s="12">
        <f>IF(C256="","",C256-D256)</f>
        <v/>
      </c>
      <c r="F256" s="19">
        <f>IF(OR(B256="",C256=""),"",E256-B256)</f>
        <v/>
      </c>
      <c r="G256" s="21">
        <f>IF(OR(B256="",B256=0),"",F256/B256)</f>
        <v/>
      </c>
      <c r="H256" s="74" t="inlineStr">
        <is>
          <t>https://csfloat.com/item/970560864195316021</t>
        </is>
      </c>
    </row>
    <row r="257" ht="19.5" customHeight="1" s="49">
      <c r="A257" s="34" t="inlineStr">
        <is>
          <t>Nova | Walnut</t>
        </is>
      </c>
      <c r="B257" s="24" t="n">
        <v>0.68</v>
      </c>
      <c r="C257" s="29" t="n">
        <v>2.8</v>
      </c>
      <c r="D257" s="7">
        <f>IF(C257="","",C257*$B$1)</f>
        <v/>
      </c>
      <c r="E257" s="8">
        <f>IF(C257="","",C257-D257)</f>
        <v/>
      </c>
      <c r="F257" s="18">
        <f>IF(OR(B257="",C257=""),"",E257-B257)</f>
        <v/>
      </c>
      <c r="G257" s="20">
        <f>IF(OR(B257="",B257=0),"",F257/B257)</f>
        <v/>
      </c>
      <c r="H257" s="9" t="inlineStr">
        <is>
          <t>https://csfloat.com/item/970657086033756544</t>
        </is>
      </c>
    </row>
    <row r="258" ht="19.5" customHeight="1" s="49">
      <c r="A258" s="10" t="inlineStr">
        <is>
          <t>XM1014 | Blue Spruce 0.387093216181</t>
        </is>
      </c>
      <c r="B258" s="25" t="n">
        <v>13.5</v>
      </c>
      <c r="C258" s="30" t="n">
        <v>39</v>
      </c>
      <c r="D258" s="11">
        <f>IF(C258="","",C258*$B$1)</f>
        <v/>
      </c>
      <c r="E258" s="12">
        <f>IF(C258="","",C258-D258)</f>
        <v/>
      </c>
      <c r="F258" s="19">
        <f>IF(OR(B258="",C258=""),"",E258-B258)</f>
        <v/>
      </c>
      <c r="G258" s="21">
        <f>IF(OR(B258="",B258=0),"",F258/B258)</f>
        <v/>
      </c>
      <c r="H258" s="13" t="n"/>
    </row>
    <row r="259" ht="19.5" customHeight="1" s="49">
      <c r="A259" s="6" t="inlineStr">
        <is>
          <t>AK-47 | Redline 0.229324132204</t>
        </is>
      </c>
      <c r="B259" s="24" t="n">
        <v>29.98</v>
      </c>
      <c r="C259" s="29" t="n">
        <v>42</v>
      </c>
      <c r="D259" s="7">
        <f>IF(C259="","",C259*$B$1)</f>
        <v/>
      </c>
      <c r="E259" s="8">
        <f>IF(C259="","",C259-D259)</f>
        <v/>
      </c>
      <c r="F259" s="18">
        <f>IF(OR(B259="",C259=""),"",E259-B259)</f>
        <v/>
      </c>
      <c r="G259" s="20">
        <f>IF(OR(B259="",B259=0),"",F259/B259)</f>
        <v/>
      </c>
      <c r="H259" s="9" t="n"/>
    </row>
    <row r="260" ht="19.5" customHeight="1" s="49">
      <c r="A260" s="10" t="inlineStr">
        <is>
          <t>USP-S | Royal Blue 0.383412957191</t>
        </is>
      </c>
      <c r="B260" s="25" t="n">
        <v>0.1268</v>
      </c>
      <c r="C260" s="30" t="n">
        <v>16</v>
      </c>
      <c r="D260" s="11">
        <f>IF(C260="","",C260*$B$1)</f>
        <v/>
      </c>
      <c r="E260" s="12">
        <f>IF(C260="","",C260-D260)</f>
        <v/>
      </c>
      <c r="F260" s="19">
        <f>IF(OR(B260="",C260=""),"",E260-B260)</f>
        <v/>
      </c>
      <c r="G260" s="21">
        <f>IF(OR(B260="",B260=0),"",F260/B260)</f>
        <v/>
      </c>
      <c r="H260" s="13" t="n"/>
    </row>
    <row r="261" ht="19.5" customHeight="1" s="49">
      <c r="A261" s="6" t="inlineStr">
        <is>
          <t>Nova | Walnut 0.370155155659</t>
        </is>
      </c>
      <c r="B261" s="24" t="n">
        <v>0.68</v>
      </c>
      <c r="C261" s="29" t="n">
        <v>2.8</v>
      </c>
      <c r="D261" s="7">
        <f>IF(C261="","",C261*$B$1)</f>
        <v/>
      </c>
      <c r="E261" s="8">
        <f>IF(C261="","",C261-D261)</f>
        <v/>
      </c>
      <c r="F261" s="18">
        <f>IF(OR(B261="",C261=""),"",E261-B261)</f>
        <v/>
      </c>
      <c r="G261" s="20">
        <f>IF(OR(B261="",B261=0),"",F261/B261)</f>
        <v/>
      </c>
      <c r="H261" s="9" t="n"/>
    </row>
    <row r="262" ht="19.5" customHeight="1" s="49">
      <c r="A262" s="10" t="inlineStr">
        <is>
          <t>Sawed-Off | Irradiated Alert 3dMax kato gold (not full set) 0.392642647028</t>
        </is>
      </c>
      <c r="B262" s="25" t="n">
        <v>0.73</v>
      </c>
      <c r="C262" s="30" t="n">
        <v>5.95</v>
      </c>
      <c r="D262" s="11">
        <f>IF(C262="","",C262*$B$1)</f>
        <v/>
      </c>
      <c r="E262" s="12">
        <f>IF(C262="","",C262-D262)</f>
        <v/>
      </c>
      <c r="F262" s="19">
        <f>IF(OR(B262="",C262=""),"",E262-B262)</f>
        <v/>
      </c>
      <c r="G262" s="21">
        <f>IF(OR(B262="",B262=0),"",F262/B262)</f>
        <v/>
      </c>
      <c r="H262" s="13" t="n"/>
    </row>
    <row r="263" ht="19.5" customHeight="1" s="49">
      <c r="A263" s="6" t="inlineStr">
        <is>
          <t xml:space="preserve">M249 | Contrast Spray 0.207938030362 Kenny Gold krakow </t>
        </is>
      </c>
      <c r="B263" s="24" t="n">
        <v>6.75</v>
      </c>
      <c r="C263" s="29" t="n">
        <v>9.65</v>
      </c>
      <c r="D263" s="7">
        <f>IF(C263="","",C263*$B$1)</f>
        <v/>
      </c>
      <c r="E263" s="8">
        <f>IF(C263="","",C263-D263)</f>
        <v/>
      </c>
      <c r="F263" s="18">
        <f>IF(OR(B263="",C263=""),"",E263-B263)</f>
        <v/>
      </c>
      <c r="G263" s="20">
        <f>IF(OR(B263="",B263=0),"",F263/B263)</f>
        <v/>
      </c>
      <c r="H263" s="9" t="n"/>
    </row>
    <row r="264" ht="19.5" customHeight="1" s="49">
      <c r="A264" s="10" t="n"/>
      <c r="B264" s="25" t="n"/>
      <c r="C264" s="30" t="n"/>
      <c r="D264" s="11">
        <f>IF(C264="","",C264*$B$1)</f>
        <v/>
      </c>
      <c r="E264" s="12">
        <f>IF(C264="","",C264-D264)</f>
        <v/>
      </c>
      <c r="F264" s="19">
        <f>IF(OR(B264="",C264=""),"",E264-B264)</f>
        <v/>
      </c>
      <c r="G264" s="21">
        <f>IF(OR(B264="",B264=0),"",F264/B264)</f>
        <v/>
      </c>
      <c r="H264" s="13" t="n"/>
    </row>
    <row r="265" ht="19.5" customHeight="1" s="49">
      <c r="A265" s="6" t="n"/>
      <c r="B265" s="24" t="n"/>
      <c r="C265" s="29" t="n"/>
      <c r="D265" s="7">
        <f>IF(C265="","",C265*$B$1)</f>
        <v/>
      </c>
      <c r="E265" s="8">
        <f>IF(C265="","",C265-D265)</f>
        <v/>
      </c>
      <c r="F265" s="18">
        <f>IF(OR(B265="",C265=""),"",E265-B265)</f>
        <v/>
      </c>
      <c r="G265" s="20">
        <f>IF(OR(B265="",B265=0),"",F265/B265)</f>
        <v/>
      </c>
      <c r="H265" s="9" t="n"/>
    </row>
    <row r="266" ht="19.5" customHeight="1" s="49">
      <c r="A266" s="10" t="n"/>
      <c r="B266" s="25" t="n"/>
      <c r="C266" s="30" t="n"/>
      <c r="D266" s="11">
        <f>IF(C266="","",C266*$B$1)</f>
        <v/>
      </c>
      <c r="E266" s="12">
        <f>IF(C266="","",C266-D266)</f>
        <v/>
      </c>
      <c r="F266" s="19">
        <f>IF(OR(B266="",C266=""),"",E266-B266)</f>
        <v/>
      </c>
      <c r="G266" s="21">
        <f>IF(OR(B266="",B266=0),"",F266/B266)</f>
        <v/>
      </c>
      <c r="H266" s="13" t="n"/>
    </row>
    <row r="267" ht="19.5" customHeight="1" s="49">
      <c r="A267" s="6" t="n"/>
      <c r="B267" s="24" t="n"/>
      <c r="C267" s="29" t="n"/>
      <c r="D267" s="7">
        <f>IF(C267="","",C267*$B$1)</f>
        <v/>
      </c>
      <c r="E267" s="8">
        <f>IF(C267="","",C267-D267)</f>
        <v/>
      </c>
      <c r="F267" s="18">
        <f>IF(OR(B267="",C267=""),"",E267-B267)</f>
        <v/>
      </c>
      <c r="G267" s="20">
        <f>IF(OR(B267="",B267=0),"",F267/B267)</f>
        <v/>
      </c>
      <c r="H267" s="9" t="n"/>
    </row>
    <row r="268" ht="19.5" customHeight="1" s="49">
      <c r="A268" s="10" t="n"/>
      <c r="B268" s="25" t="n"/>
      <c r="C268" s="30" t="n"/>
      <c r="D268" s="11">
        <f>IF(C268="","",C268*$B$1)</f>
        <v/>
      </c>
      <c r="E268" s="12">
        <f>IF(C268="","",C268-D268)</f>
        <v/>
      </c>
      <c r="F268" s="19">
        <f>IF(OR(B268="",C268=""),"",E268-B268)</f>
        <v/>
      </c>
      <c r="G268" s="21">
        <f>IF(OR(B268="",B268=0),"",F268/B268)</f>
        <v/>
      </c>
      <c r="H268" s="13" t="n"/>
    </row>
    <row r="269" ht="19.5" customHeight="1" s="49">
      <c r="A269" s="6" t="n"/>
      <c r="B269" s="24" t="n"/>
      <c r="C269" s="29" t="n"/>
      <c r="D269" s="7">
        <f>IF(C269="","",C269*$B$1)</f>
        <v/>
      </c>
      <c r="E269" s="8">
        <f>IF(C269="","",C269-D269)</f>
        <v/>
      </c>
      <c r="F269" s="18">
        <f>IF(OR(B269="",C269=""),"",E269-B269)</f>
        <v/>
      </c>
      <c r="G269" s="20">
        <f>IF(OR(B269="",B269=0),"",F269/B269)</f>
        <v/>
      </c>
      <c r="H269" s="9" t="n"/>
    </row>
    <row r="270" ht="19.5" customHeight="1" s="49">
      <c r="A270" s="10" t="n"/>
      <c r="B270" s="25" t="n"/>
      <c r="C270" s="30" t="n"/>
      <c r="D270" s="11">
        <f>IF(C270="","",C270*$B$1)</f>
        <v/>
      </c>
      <c r="E270" s="12">
        <f>IF(C270="","",C270-D270)</f>
        <v/>
      </c>
      <c r="F270" s="19">
        <f>IF(OR(B270="",C270=""),"",E270-B270)</f>
        <v/>
      </c>
      <c r="G270" s="21">
        <f>IF(OR(B270="",B270=0),"",F270/B270)</f>
        <v/>
      </c>
      <c r="H270" s="13" t="n"/>
    </row>
    <row r="271" ht="19.5" customHeight="1" s="49">
      <c r="A271" s="6" t="n"/>
      <c r="B271" s="24" t="n"/>
      <c r="C271" s="29" t="n"/>
      <c r="D271" s="7">
        <f>IF(C271="","",C271*$B$1)</f>
        <v/>
      </c>
      <c r="E271" s="8">
        <f>IF(C271="","",C271-D271)</f>
        <v/>
      </c>
      <c r="F271" s="18">
        <f>IF(OR(B271="",C271=""),"",E271-B271)</f>
        <v/>
      </c>
      <c r="G271" s="20">
        <f>IF(OR(B271="",B271=0),"",F271/B271)</f>
        <v/>
      </c>
      <c r="H271" s="9" t="n"/>
    </row>
    <row r="272" ht="19.5" customHeight="1" s="49">
      <c r="A272" s="10" t="n"/>
      <c r="B272" s="25" t="n"/>
      <c r="C272" s="30" t="n"/>
      <c r="D272" s="11">
        <f>IF(C272="","",C272*$B$1)</f>
        <v/>
      </c>
      <c r="E272" s="12">
        <f>IF(C272="","",C272-D272)</f>
        <v/>
      </c>
      <c r="F272" s="19">
        <f>IF(OR(B272="",C272=""),"",E272-B272)</f>
        <v/>
      </c>
      <c r="G272" s="21">
        <f>IF(OR(B272="",B272=0),"",F272/B272)</f>
        <v/>
      </c>
      <c r="H272" s="13" t="n"/>
    </row>
    <row r="273" ht="19.5" customHeight="1" s="49">
      <c r="A273" s="6" t="n"/>
      <c r="B273" s="24" t="n"/>
      <c r="C273" s="29" t="n"/>
      <c r="D273" s="7">
        <f>IF(C273="","",C273*$B$1)</f>
        <v/>
      </c>
      <c r="E273" s="8">
        <f>IF(C273="","",C273-D273)</f>
        <v/>
      </c>
      <c r="F273" s="18">
        <f>IF(OR(B273="",C273=""),"",E273-B273)</f>
        <v/>
      </c>
      <c r="G273" s="20">
        <f>IF(OR(B273="",B273=0),"",F273/B273)</f>
        <v/>
      </c>
      <c r="H273" s="9" t="n"/>
    </row>
    <row r="274" ht="19.5" customHeight="1" s="49">
      <c r="A274" s="10" t="n"/>
      <c r="B274" s="25" t="n"/>
      <c r="C274" s="30" t="n"/>
      <c r="D274" s="11">
        <f>IF(C274="","",C274*$B$1)</f>
        <v/>
      </c>
      <c r="E274" s="12">
        <f>IF(C274="","",C274-D274)</f>
        <v/>
      </c>
      <c r="F274" s="19">
        <f>IF(OR(B274="",C274=""),"",E274-B274)</f>
        <v/>
      </c>
      <c r="G274" s="21">
        <f>IF(OR(B274="",B274=0),"",F274/B274)</f>
        <v/>
      </c>
      <c r="H274" s="13" t="n"/>
    </row>
    <row r="275" ht="19.5" customHeight="1" s="49">
      <c r="A275" s="6" t="n"/>
      <c r="B275" s="24" t="n"/>
      <c r="C275" s="29" t="n"/>
      <c r="D275" s="7">
        <f>IF(C275="","",C275*$B$1)</f>
        <v/>
      </c>
      <c r="E275" s="8">
        <f>IF(C275="","",C275-D275)</f>
        <v/>
      </c>
      <c r="F275" s="18">
        <f>IF(OR(B275="",C275=""),"",E275-B275)</f>
        <v/>
      </c>
      <c r="G275" s="20">
        <f>IF(OR(B275="",B275=0),"",F275/B275)</f>
        <v/>
      </c>
      <c r="H275" s="9" t="n"/>
    </row>
    <row r="276" ht="19.5" customHeight="1" s="49">
      <c r="A276" s="10" t="n"/>
      <c r="B276" s="25" t="n"/>
      <c r="C276" s="30" t="n"/>
      <c r="D276" s="11">
        <f>IF(C276="","",C276*$B$1)</f>
        <v/>
      </c>
      <c r="E276" s="12">
        <f>IF(C276="","",C276-D276)</f>
        <v/>
      </c>
      <c r="F276" s="19">
        <f>IF(OR(B276="",C276=""),"",E276-B276)</f>
        <v/>
      </c>
      <c r="G276" s="21">
        <f>IF(OR(B276="",B276=0),"",F276/B276)</f>
        <v/>
      </c>
      <c r="H276" s="13" t="n"/>
    </row>
    <row r="277" ht="19.5" customHeight="1" s="49">
      <c r="A277" s="6" t="n"/>
      <c r="B277" s="24" t="n"/>
      <c r="C277" s="29" t="n"/>
      <c r="D277" s="7">
        <f>IF(C277="","",C277*$B$1)</f>
        <v/>
      </c>
      <c r="E277" s="8">
        <f>IF(C277="","",C277-D277)</f>
        <v/>
      </c>
      <c r="F277" s="18">
        <f>IF(OR(B277="",C277=""),"",E277-B277)</f>
        <v/>
      </c>
      <c r="G277" s="20">
        <f>IF(OR(B277="",B277=0),"",F277/B277)</f>
        <v/>
      </c>
      <c r="H277" s="9" t="n"/>
    </row>
    <row r="278" ht="19.5" customHeight="1" s="49">
      <c r="A278" s="10" t="n"/>
      <c r="B278" s="25" t="n"/>
      <c r="C278" s="30" t="n"/>
      <c r="D278" s="11">
        <f>IF(C278="","",C278*$B$1)</f>
        <v/>
      </c>
      <c r="E278" s="12">
        <f>IF(C278="","",C278-D278)</f>
        <v/>
      </c>
      <c r="F278" s="19">
        <f>IF(OR(B278="",C278=""),"",E278-B278)</f>
        <v/>
      </c>
      <c r="G278" s="21">
        <f>IF(OR(B278="",B278=0),"",F278/B278)</f>
        <v/>
      </c>
      <c r="H278" s="13" t="n"/>
    </row>
    <row r="279" ht="19.5" customHeight="1" s="49">
      <c r="A279" s="6" t="n"/>
      <c r="B279" s="24" t="n"/>
      <c r="C279" s="29" t="n"/>
      <c r="D279" s="7">
        <f>IF(C279="","",C279*$B$1)</f>
        <v/>
      </c>
      <c r="E279" s="8">
        <f>IF(C279="","",C279-D279)</f>
        <v/>
      </c>
      <c r="F279" s="18">
        <f>IF(OR(B279="",C279=""),"",E279-B279)</f>
        <v/>
      </c>
      <c r="G279" s="20">
        <f>IF(OR(B279="",B279=0),"",F279/B279)</f>
        <v/>
      </c>
      <c r="H279" s="9" t="n"/>
    </row>
    <row r="280" ht="19.5" customHeight="1" s="49">
      <c r="A280" s="10" t="n"/>
      <c r="B280" s="25" t="n"/>
      <c r="C280" s="30" t="n"/>
      <c r="D280" s="11">
        <f>IF(C280="","",C280*$B$1)</f>
        <v/>
      </c>
      <c r="E280" s="12">
        <f>IF(C280="","",C280-D280)</f>
        <v/>
      </c>
      <c r="F280" s="19">
        <f>IF(OR(B280="",C280=""),"",E280-B280)</f>
        <v/>
      </c>
      <c r="G280" s="21">
        <f>IF(OR(B280="",B280=0),"",F280/B280)</f>
        <v/>
      </c>
      <c r="H280" s="13" t="n"/>
    </row>
    <row r="281" ht="19.5" customHeight="1" s="49">
      <c r="A281" s="6" t="n"/>
      <c r="B281" s="24" t="n"/>
      <c r="C281" s="29" t="n"/>
      <c r="D281" s="7">
        <f>IF(C281="","",C281*$B$1)</f>
        <v/>
      </c>
      <c r="E281" s="8">
        <f>IF(C281="","",C281-D281)</f>
        <v/>
      </c>
      <c r="F281" s="18">
        <f>IF(OR(B281="",C281=""),"",E281-B281)</f>
        <v/>
      </c>
      <c r="G281" s="20">
        <f>IF(OR(B281="",B281=0),"",F281/B281)</f>
        <v/>
      </c>
      <c r="H281" s="9" t="n"/>
    </row>
    <row r="282" ht="19.5" customHeight="1" s="49">
      <c r="A282" s="10" t="n"/>
      <c r="B282" s="25" t="n"/>
      <c r="C282" s="30" t="n"/>
      <c r="D282" s="11">
        <f>IF(C282="","",C282*$B$1)</f>
        <v/>
      </c>
      <c r="E282" s="12">
        <f>IF(C282="","",C282-D282)</f>
        <v/>
      </c>
      <c r="F282" s="19">
        <f>IF(OR(B282="",C282=""),"",E282-B282)</f>
        <v/>
      </c>
      <c r="G282" s="21">
        <f>IF(OR(B282="",B282=0),"",F282/B282)</f>
        <v/>
      </c>
      <c r="H282" s="13" t="n"/>
    </row>
    <row r="283" ht="19.5" customHeight="1" s="49">
      <c r="A283" s="6" t="n"/>
      <c r="B283" s="24" t="n"/>
      <c r="C283" s="29" t="n"/>
      <c r="D283" s="7">
        <f>IF(C283="","",C283*$B$1)</f>
        <v/>
      </c>
      <c r="E283" s="8">
        <f>IF(C283="","",C283-D283)</f>
        <v/>
      </c>
      <c r="F283" s="18">
        <f>IF(OR(B283="",C283=""),"",E283-B283)</f>
        <v/>
      </c>
      <c r="G283" s="20">
        <f>IF(OR(B283="",B283=0),"",F283/B283)</f>
        <v/>
      </c>
      <c r="H283" s="9" t="n"/>
    </row>
    <row r="284" ht="19.5" customHeight="1" s="49">
      <c r="A284" s="10" t="n"/>
      <c r="B284" s="25" t="n"/>
      <c r="C284" s="30" t="n"/>
      <c r="D284" s="11">
        <f>IF(C284="","",C284*$B$1)</f>
        <v/>
      </c>
      <c r="E284" s="12">
        <f>IF(C284="","",C284-D284)</f>
        <v/>
      </c>
      <c r="F284" s="19">
        <f>IF(OR(B284="",C284=""),"",E284-B284)</f>
        <v/>
      </c>
      <c r="G284" s="21">
        <f>IF(OR(B284="",B284=0),"",F284/B284)</f>
        <v/>
      </c>
      <c r="H284" s="13" t="n"/>
    </row>
    <row r="285" ht="19.5" customHeight="1" s="49">
      <c r="A285" s="6" t="n"/>
      <c r="B285" s="24" t="n"/>
      <c r="C285" s="29" t="n"/>
      <c r="D285" s="7">
        <f>IF(C285="","",C285*$B$1)</f>
        <v/>
      </c>
      <c r="E285" s="8">
        <f>IF(C285="","",C285-D285)</f>
        <v/>
      </c>
      <c r="F285" s="18">
        <f>IF(OR(B285="",C285=""),"",E285-B285)</f>
        <v/>
      </c>
      <c r="G285" s="20">
        <f>IF(OR(B285="",B285=0),"",F285/B285)</f>
        <v/>
      </c>
      <c r="H285" s="9" t="n"/>
    </row>
    <row r="286" ht="19.5" customHeight="1" s="49">
      <c r="A286" s="10" t="n"/>
      <c r="B286" s="25" t="n"/>
      <c r="C286" s="30" t="n"/>
      <c r="D286" s="11">
        <f>IF(C286="","",C286*$B$1)</f>
        <v/>
      </c>
      <c r="E286" s="12">
        <f>IF(C286="","",C286-D286)</f>
        <v/>
      </c>
      <c r="F286" s="19">
        <f>IF(OR(B286="",C286=""),"",E286-B286)</f>
        <v/>
      </c>
      <c r="G286" s="21">
        <f>IF(OR(B286="",B286=0),"",F286/B286)</f>
        <v/>
      </c>
      <c r="H286" s="13" t="n"/>
    </row>
    <row r="287" ht="19.5" customHeight="1" s="49">
      <c r="A287" s="6" t="n"/>
      <c r="B287" s="24" t="n"/>
      <c r="C287" s="29" t="n"/>
      <c r="D287" s="7">
        <f>IF(C287="","",C287*$B$1)</f>
        <v/>
      </c>
      <c r="E287" s="8">
        <f>IF(C287="","",C287-D287)</f>
        <v/>
      </c>
      <c r="F287" s="18">
        <f>IF(OR(B287="",C287=""),"",E287-B287)</f>
        <v/>
      </c>
      <c r="G287" s="20">
        <f>IF(OR(B287="",B287=0),"",F287/B287)</f>
        <v/>
      </c>
      <c r="H287" s="9" t="n"/>
    </row>
    <row r="288" ht="19.5" customHeight="1" s="49">
      <c r="A288" s="10" t="n"/>
      <c r="B288" s="25" t="n"/>
      <c r="C288" s="30" t="n"/>
      <c r="D288" s="11">
        <f>IF(C288="","",C288*$B$1)</f>
        <v/>
      </c>
      <c r="E288" s="12">
        <f>IF(C288="","",C288-D288)</f>
        <v/>
      </c>
      <c r="F288" s="19">
        <f>IF(OR(B288="",C288=""),"",E288-B288)</f>
        <v/>
      </c>
      <c r="G288" s="21">
        <f>IF(OR(B288="",B288=0),"",F288/B288)</f>
        <v/>
      </c>
      <c r="H288" s="13" t="n"/>
    </row>
    <row r="289" ht="19.5" customHeight="1" s="49">
      <c r="A289" s="6" t="n"/>
      <c r="B289" s="24" t="n"/>
      <c r="C289" s="29" t="n"/>
      <c r="D289" s="7">
        <f>IF(C289="","",C289*$B$1)</f>
        <v/>
      </c>
      <c r="E289" s="8">
        <f>IF(C289="","",C289-D289)</f>
        <v/>
      </c>
      <c r="F289" s="18">
        <f>IF(OR(B289="",C289=""),"",E289-B289)</f>
        <v/>
      </c>
      <c r="G289" s="20">
        <f>IF(OR(B289="",B289=0),"",F289/B289)</f>
        <v/>
      </c>
      <c r="H289" s="9" t="n"/>
    </row>
    <row r="290" ht="19.5" customHeight="1" s="49">
      <c r="A290" s="10" t="n"/>
      <c r="B290" s="25" t="n"/>
      <c r="C290" s="30" t="n"/>
      <c r="D290" s="11">
        <f>IF(C290="","",C290*$B$1)</f>
        <v/>
      </c>
      <c r="E290" s="12">
        <f>IF(C290="","",C290-D290)</f>
        <v/>
      </c>
      <c r="F290" s="19">
        <f>IF(OR(B290="",C290=""),"",E290-B290)</f>
        <v/>
      </c>
      <c r="G290" s="21">
        <f>IF(OR(B290="",B290=0),"",F290/B290)</f>
        <v/>
      </c>
      <c r="H290" s="13" t="n"/>
    </row>
    <row r="291" ht="19.5" customHeight="1" s="49">
      <c r="A291" s="6" t="n"/>
      <c r="B291" s="24" t="n"/>
      <c r="C291" s="29" t="n"/>
      <c r="D291" s="7">
        <f>IF(C291="","",C291*$B$1)</f>
        <v/>
      </c>
      <c r="E291" s="8">
        <f>IF(C291="","",C291-D291)</f>
        <v/>
      </c>
      <c r="F291" s="18">
        <f>IF(OR(B291="",C291=""),"",E291-B291)</f>
        <v/>
      </c>
      <c r="G291" s="20">
        <f>IF(OR(B291="",B291=0),"",F291/B291)</f>
        <v/>
      </c>
      <c r="H291" s="9" t="n"/>
    </row>
    <row r="292" ht="19.5" customHeight="1" s="49">
      <c r="A292" s="10" t="n"/>
      <c r="B292" s="25" t="n"/>
      <c r="C292" s="30" t="n"/>
      <c r="D292" s="11">
        <f>IF(C292="","",C292*$B$1)</f>
        <v/>
      </c>
      <c r="E292" s="12">
        <f>IF(C292="","",C292-D292)</f>
        <v/>
      </c>
      <c r="F292" s="19">
        <f>IF(OR(B292="",C292=""),"",E292-B292)</f>
        <v/>
      </c>
      <c r="G292" s="21">
        <f>IF(OR(B292="",B292=0),"",F292/B292)</f>
        <v/>
      </c>
      <c r="H292" s="13" t="n"/>
    </row>
    <row r="293" ht="19.5" customHeight="1" s="49">
      <c r="A293" s="6" t="n"/>
      <c r="B293" s="24" t="n"/>
      <c r="C293" s="29" t="n"/>
      <c r="D293" s="7">
        <f>IF(C293="","",C293*$B$1)</f>
        <v/>
      </c>
      <c r="E293" s="8">
        <f>IF(C293="","",C293-D293)</f>
        <v/>
      </c>
      <c r="F293" s="18">
        <f>IF(OR(B293="",C293=""),"",E293-B293)</f>
        <v/>
      </c>
      <c r="G293" s="20">
        <f>IF(OR(B293="",B293=0),"",F293/B293)</f>
        <v/>
      </c>
      <c r="H293" s="9" t="n"/>
    </row>
    <row r="294" ht="19.5" customHeight="1" s="49">
      <c r="A294" s="10" t="n"/>
      <c r="B294" s="25" t="n"/>
      <c r="C294" s="30" t="n"/>
      <c r="D294" s="11">
        <f>IF(C294="","",C294*$B$1)</f>
        <v/>
      </c>
      <c r="E294" s="12">
        <f>IF(C294="","",C294-D294)</f>
        <v/>
      </c>
      <c r="F294" s="19">
        <f>IF(OR(B294="",C294=""),"",E294-B294)</f>
        <v/>
      </c>
      <c r="G294" s="21">
        <f>IF(OR(B294="",B294=0),"",F294/B294)</f>
        <v/>
      </c>
      <c r="H294" s="13" t="n"/>
    </row>
    <row r="295" ht="19.5" customHeight="1" s="49">
      <c r="A295" s="6" t="n"/>
      <c r="B295" s="24" t="n"/>
      <c r="C295" s="29" t="n"/>
      <c r="D295" s="7">
        <f>IF(C295="","",C295*$B$1)</f>
        <v/>
      </c>
      <c r="E295" s="8">
        <f>IF(C295="","",C295-D295)</f>
        <v/>
      </c>
      <c r="F295" s="18">
        <f>IF(OR(B295="",C295=""),"",E295-B295)</f>
        <v/>
      </c>
      <c r="G295" s="20">
        <f>IF(OR(B295="",B295=0),"",F295/B295)</f>
        <v/>
      </c>
      <c r="H295" s="9" t="n"/>
    </row>
    <row r="296" ht="19.5" customHeight="1" s="49">
      <c r="A296" s="10" t="n"/>
      <c r="B296" s="25" t="n"/>
      <c r="C296" s="30" t="n"/>
      <c r="D296" s="11">
        <f>IF(C296="","",C296*$B$1)</f>
        <v/>
      </c>
      <c r="E296" s="12">
        <f>IF(C296="","",C296-D296)</f>
        <v/>
      </c>
      <c r="F296" s="19">
        <f>IF(OR(B296="",C296=""),"",E296-B296)</f>
        <v/>
      </c>
      <c r="G296" s="21">
        <f>IF(OR(B296="",B296=0),"",F296/B296)</f>
        <v/>
      </c>
      <c r="H296" s="13" t="n"/>
    </row>
    <row r="297" ht="19.5" customHeight="1" s="49">
      <c r="A297" s="6" t="n"/>
      <c r="B297" s="24" t="n"/>
      <c r="C297" s="29" t="n"/>
      <c r="D297" s="7">
        <f>IF(C297="","",C297*$B$1)</f>
        <v/>
      </c>
      <c r="E297" s="8">
        <f>IF(C297="","",C297-D297)</f>
        <v/>
      </c>
      <c r="F297" s="18">
        <f>IF(OR(B297="",C297=""),"",E297-B297)</f>
        <v/>
      </c>
      <c r="G297" s="20">
        <f>IF(OR(B297="",B297=0),"",F297/B297)</f>
        <v/>
      </c>
      <c r="H297" s="9" t="n"/>
    </row>
    <row r="298" ht="19.5" customHeight="1" s="49">
      <c r="A298" s="10" t="n"/>
      <c r="B298" s="25" t="n"/>
      <c r="C298" s="30" t="n"/>
      <c r="D298" s="11">
        <f>IF(C298="","",C298*$B$1)</f>
        <v/>
      </c>
      <c r="E298" s="12">
        <f>IF(C298="","",C298-D298)</f>
        <v/>
      </c>
      <c r="F298" s="19">
        <f>IF(OR(B298="",C298=""),"",E298-B298)</f>
        <v/>
      </c>
      <c r="G298" s="21">
        <f>IF(OR(B298="",B298=0),"",F298/B298)</f>
        <v/>
      </c>
      <c r="H298" s="13" t="n"/>
    </row>
    <row r="299" ht="19.5" customHeight="1" s="49">
      <c r="A299" s="6" t="n"/>
      <c r="B299" s="24" t="n"/>
      <c r="C299" s="29" t="n"/>
      <c r="D299" s="7">
        <f>IF(C299="","",C299*$B$1)</f>
        <v/>
      </c>
      <c r="E299" s="8">
        <f>IF(C299="","",C299-D299)</f>
        <v/>
      </c>
      <c r="F299" s="18">
        <f>IF(OR(B299="",C299=""),"",E299-B299)</f>
        <v/>
      </c>
      <c r="G299" s="20">
        <f>IF(OR(B299="",B299=0),"",F299/B299)</f>
        <v/>
      </c>
      <c r="H299" s="9" t="n"/>
    </row>
    <row r="300" ht="19.5" customHeight="1" s="49">
      <c r="A300" s="10" t="n"/>
      <c r="B300" s="25" t="n"/>
      <c r="C300" s="30" t="n"/>
      <c r="D300" s="11">
        <f>IF(C300="","",C300*$B$1)</f>
        <v/>
      </c>
      <c r="E300" s="12">
        <f>IF(C300="","",C300-D300)</f>
        <v/>
      </c>
      <c r="F300" s="19">
        <f>IF(OR(B300="",C300=""),"",E300-B300)</f>
        <v/>
      </c>
      <c r="G300" s="21">
        <f>IF(OR(B300="",B300=0),"",F300/B300)</f>
        <v/>
      </c>
      <c r="H300" s="13" t="n"/>
    </row>
    <row r="301" ht="19.5" customHeight="1" s="49">
      <c r="A301" s="6" t="n"/>
      <c r="B301" s="24" t="n"/>
      <c r="C301" s="29" t="n"/>
      <c r="D301" s="7">
        <f>IF(C301="","",C301*$B$1)</f>
        <v/>
      </c>
      <c r="E301" s="8">
        <f>IF(C301="","",C301-D301)</f>
        <v/>
      </c>
      <c r="F301" s="18">
        <f>IF(OR(B301="",C301=""),"",E301-B301)</f>
        <v/>
      </c>
      <c r="G301" s="20">
        <f>IF(OR(B301="",B301=0),"",F301/B301)</f>
        <v/>
      </c>
      <c r="H301" s="9" t="n"/>
    </row>
    <row r="302" ht="19.5" customHeight="1" s="49">
      <c r="A302" s="10" t="n"/>
      <c r="B302" s="25" t="n"/>
      <c r="C302" s="30" t="n"/>
      <c r="D302" s="11">
        <f>IF(C302="","",C302*$B$1)</f>
        <v/>
      </c>
      <c r="E302" s="12">
        <f>IF(C302="","",C302-D302)</f>
        <v/>
      </c>
      <c r="F302" s="19">
        <f>IF(OR(B302="",C302=""),"",E302-B302)</f>
        <v/>
      </c>
      <c r="G302" s="21">
        <f>IF(OR(B302="",B302=0),"",F302/B302)</f>
        <v/>
      </c>
      <c r="H302" s="13" t="n"/>
    </row>
    <row r="303" ht="19.5" customHeight="1" s="49">
      <c r="A303" s="6" t="n"/>
      <c r="B303" s="24" t="n"/>
      <c r="C303" s="29" t="n"/>
      <c r="D303" s="7">
        <f>IF(C303="","",C303*$B$1)</f>
        <v/>
      </c>
      <c r="E303" s="8">
        <f>IF(C303="","",C303-D303)</f>
        <v/>
      </c>
      <c r="F303" s="18">
        <f>IF(OR(B303="",C303=""),"",E303-B303)</f>
        <v/>
      </c>
      <c r="G303" s="20">
        <f>IF(OR(B303="",B303=0),"",F303/B303)</f>
        <v/>
      </c>
      <c r="H303" s="9" t="n"/>
    </row>
    <row r="304" ht="19.5" customHeight="1" s="49">
      <c r="A304" s="10" t="n"/>
      <c r="B304" s="25" t="n"/>
      <c r="C304" s="30" t="n"/>
      <c r="D304" s="11">
        <f>IF(C304="","",C304*$B$1)</f>
        <v/>
      </c>
      <c r="E304" s="12">
        <f>IF(C304="","",C304-D304)</f>
        <v/>
      </c>
      <c r="F304" s="19">
        <f>IF(OR(B304="",C304=""),"",E304-B304)</f>
        <v/>
      </c>
      <c r="G304" s="21">
        <f>IF(OR(B304="",B304=0),"",F304/B304)</f>
        <v/>
      </c>
      <c r="H304" s="13" t="n"/>
    </row>
    <row r="305" ht="19.5" customHeight="1" s="49">
      <c r="A305" s="6" t="n"/>
      <c r="B305" s="24" t="n"/>
      <c r="C305" s="29" t="n"/>
      <c r="D305" s="7">
        <f>IF(C305="","",C305*$B$1)</f>
        <v/>
      </c>
      <c r="E305" s="8">
        <f>IF(C305="","",C305-D305)</f>
        <v/>
      </c>
      <c r="F305" s="18">
        <f>IF(OR(B305="",C305=""),"",E305-B305)</f>
        <v/>
      </c>
      <c r="G305" s="20">
        <f>IF(OR(B305="",B305=0),"",F305/B305)</f>
        <v/>
      </c>
      <c r="H305" s="9" t="n"/>
    </row>
    <row r="306" ht="19.5" customHeight="1" s="49">
      <c r="A306" s="10" t="n"/>
      <c r="B306" s="25" t="n"/>
      <c r="C306" s="30" t="n"/>
      <c r="D306" s="11">
        <f>IF(C306="","",C306*$B$1)</f>
        <v/>
      </c>
      <c r="E306" s="12">
        <f>IF(C306="","",C306-D306)</f>
        <v/>
      </c>
      <c r="F306" s="19">
        <f>IF(OR(B306="",C306=""),"",E306-B306)</f>
        <v/>
      </c>
      <c r="G306" s="21">
        <f>IF(OR(B306="",B306=0),"",F306/B306)</f>
        <v/>
      </c>
      <c r="H306" s="13" t="n"/>
    </row>
    <row r="307" ht="19.5" customHeight="1" s="49">
      <c r="A307" s="6" t="n"/>
      <c r="B307" s="24" t="n"/>
      <c r="C307" s="29" t="n"/>
      <c r="D307" s="7">
        <f>IF(C307="","",C307*$B$1)</f>
        <v/>
      </c>
      <c r="E307" s="8">
        <f>IF(C307="","",C307-D307)</f>
        <v/>
      </c>
      <c r="F307" s="18">
        <f>IF(OR(B307="",C307=""),"",E307-B307)</f>
        <v/>
      </c>
      <c r="G307" s="20">
        <f>IF(OR(B307="",B307=0),"",F307/B307)</f>
        <v/>
      </c>
      <c r="H307" s="9" t="n"/>
    </row>
    <row r="308" ht="19.5" customHeight="1" s="49">
      <c r="A308" s="10" t="n"/>
      <c r="B308" s="25" t="n"/>
      <c r="C308" s="30" t="n"/>
      <c r="D308" s="11">
        <f>IF(C308="","",C308*$B$1)</f>
        <v/>
      </c>
      <c r="E308" s="12">
        <f>IF(C308="","",C308-D308)</f>
        <v/>
      </c>
      <c r="F308" s="19">
        <f>IF(OR(B308="",C308=""),"",E308-B308)</f>
        <v/>
      </c>
      <c r="G308" s="21">
        <f>IF(OR(B308="",B308=0),"",F308/B308)</f>
        <v/>
      </c>
      <c r="H308" s="13" t="n"/>
    </row>
    <row r="309" ht="19.5" customHeight="1" s="49">
      <c r="A309" s="6" t="n"/>
      <c r="B309" s="24" t="n"/>
      <c r="C309" s="29" t="n"/>
      <c r="D309" s="7">
        <f>IF(C309="","",C309*$B$1)</f>
        <v/>
      </c>
      <c r="E309" s="8">
        <f>IF(C309="","",C309-D309)</f>
        <v/>
      </c>
      <c r="F309" s="18">
        <f>IF(OR(B309="",C309=""),"",E309-B309)</f>
        <v/>
      </c>
      <c r="G309" s="20">
        <f>IF(OR(B309="",B309=0),"",F309/B309)</f>
        <v/>
      </c>
      <c r="H309" s="9" t="n"/>
    </row>
    <row r="310" ht="19.5" customHeight="1" s="49">
      <c r="A310" s="10" t="n"/>
      <c r="B310" s="25" t="n"/>
      <c r="C310" s="30" t="n"/>
      <c r="D310" s="11">
        <f>IF(C310="","",C310*$B$1)</f>
        <v/>
      </c>
      <c r="E310" s="12">
        <f>IF(C310="","",C310-D310)</f>
        <v/>
      </c>
      <c r="F310" s="19">
        <f>IF(OR(B310="",C310=""),"",E310-B310)</f>
        <v/>
      </c>
      <c r="G310" s="21">
        <f>IF(OR(B310="",B310=0),"",F310/B310)</f>
        <v/>
      </c>
      <c r="H310" s="13" t="n"/>
    </row>
    <row r="311" ht="19.5" customHeight="1" s="49">
      <c r="A311" s="6" t="n"/>
      <c r="B311" s="24" t="n"/>
      <c r="C311" s="29" t="n"/>
      <c r="D311" s="7">
        <f>IF(C311="","",C311*$B$1)</f>
        <v/>
      </c>
      <c r="E311" s="8">
        <f>IF(C311="","",C311-D311)</f>
        <v/>
      </c>
      <c r="F311" s="18">
        <f>IF(OR(B311="",C311=""),"",E311-B311)</f>
        <v/>
      </c>
      <c r="G311" s="20">
        <f>IF(OR(B311="",B311=0),"",F311/B311)</f>
        <v/>
      </c>
      <c r="H311" s="9" t="n"/>
    </row>
    <row r="312" ht="19.5" customHeight="1" s="49">
      <c r="A312" s="10" t="n"/>
      <c r="B312" s="25" t="n"/>
      <c r="C312" s="30" t="n"/>
      <c r="D312" s="11">
        <f>IF(C312="","",C312*$B$1)</f>
        <v/>
      </c>
      <c r="E312" s="12">
        <f>IF(C312="","",C312-D312)</f>
        <v/>
      </c>
      <c r="F312" s="19">
        <f>IF(OR(B312="",C312=""),"",E312-B312)</f>
        <v/>
      </c>
      <c r="G312" s="21">
        <f>IF(OR(B312="",B312=0),"",F312/B312)</f>
        <v/>
      </c>
      <c r="H312" s="13" t="n"/>
    </row>
    <row r="313" ht="19.5" customHeight="1" s="49">
      <c r="A313" s="6" t="n"/>
      <c r="B313" s="24" t="n"/>
      <c r="C313" s="29" t="n"/>
      <c r="D313" s="7">
        <f>IF(C313="","",C313*$B$1)</f>
        <v/>
      </c>
      <c r="E313" s="8">
        <f>IF(C313="","",C313-D313)</f>
        <v/>
      </c>
      <c r="F313" s="18">
        <f>IF(OR(B313="",C313=""),"",E313-B313)</f>
        <v/>
      </c>
      <c r="G313" s="20">
        <f>IF(OR(B313="",B313=0),"",F313/B313)</f>
        <v/>
      </c>
      <c r="H313" s="9" t="n"/>
    </row>
    <row r="314" ht="19.5" customHeight="1" s="49">
      <c r="A314" s="10" t="n"/>
      <c r="B314" s="25" t="n"/>
      <c r="C314" s="30" t="n"/>
      <c r="D314" s="11">
        <f>IF(C314="","",C314*$B$1)</f>
        <v/>
      </c>
      <c r="E314" s="12">
        <f>IF(C314="","",C314-D314)</f>
        <v/>
      </c>
      <c r="F314" s="19">
        <f>IF(OR(B314="",C314=""),"",E314-B314)</f>
        <v/>
      </c>
      <c r="G314" s="21">
        <f>IF(OR(B314="",B314=0),"",F314/B314)</f>
        <v/>
      </c>
      <c r="H314" s="13" t="n"/>
    </row>
    <row r="315" ht="19.5" customHeight="1" s="49">
      <c r="A315" s="6" t="n"/>
      <c r="B315" s="24" t="n"/>
      <c r="C315" s="29" t="n"/>
      <c r="D315" s="7">
        <f>IF(C315="","",C315*$B$1)</f>
        <v/>
      </c>
      <c r="E315" s="8">
        <f>IF(C315="","",C315-D315)</f>
        <v/>
      </c>
      <c r="F315" s="18">
        <f>IF(OR(B315="",C315=""),"",E315-B315)</f>
        <v/>
      </c>
      <c r="G315" s="20">
        <f>IF(OR(B315="",B315=0),"",F315/B315)</f>
        <v/>
      </c>
      <c r="H315" s="9" t="n"/>
    </row>
    <row r="316" ht="19.5" customHeight="1" s="49">
      <c r="A316" s="10" t="n"/>
      <c r="B316" s="25" t="n"/>
      <c r="C316" s="30" t="n"/>
      <c r="D316" s="11">
        <f>IF(C316="","",C316*$B$1)</f>
        <v/>
      </c>
      <c r="E316" s="12">
        <f>IF(C316="","",C316-D316)</f>
        <v/>
      </c>
      <c r="F316" s="19">
        <f>IF(OR(B316="",C316=""),"",E316-B316)</f>
        <v/>
      </c>
      <c r="G316" s="21">
        <f>IF(OR(B316="",B316=0),"",F316/B316)</f>
        <v/>
      </c>
      <c r="H316" s="13" t="n"/>
    </row>
    <row r="317" ht="19.5" customHeight="1" s="49">
      <c r="A317" s="6" t="n"/>
      <c r="B317" s="24" t="n"/>
      <c r="C317" s="29" t="n"/>
      <c r="D317" s="7">
        <f>IF(C317="","",C317*$B$1)</f>
        <v/>
      </c>
      <c r="E317" s="8">
        <f>IF(C317="","",C317-D317)</f>
        <v/>
      </c>
      <c r="F317" s="18">
        <f>IF(OR(B317="",C317=""),"",E317-B317)</f>
        <v/>
      </c>
      <c r="G317" s="20">
        <f>IF(OR(B317="",B317=0),"",F317/B317)</f>
        <v/>
      </c>
      <c r="H317" s="9" t="n"/>
    </row>
    <row r="318" ht="19.5" customHeight="1" s="49">
      <c r="A318" s="10" t="n"/>
      <c r="B318" s="25" t="n"/>
      <c r="C318" s="30" t="n"/>
      <c r="D318" s="11">
        <f>IF(C318="","",C318*$B$1)</f>
        <v/>
      </c>
      <c r="E318" s="12">
        <f>IF(C318="","",C318-D318)</f>
        <v/>
      </c>
      <c r="F318" s="19">
        <f>IF(OR(B318="",C318=""),"",E318-B318)</f>
        <v/>
      </c>
      <c r="G318" s="21">
        <f>IF(OR(B318="",B318=0),"",F318/B318)</f>
        <v/>
      </c>
      <c r="H318" s="13" t="n"/>
    </row>
    <row r="319" ht="19.5" customHeight="1" s="49">
      <c r="A319" s="6" t="n"/>
      <c r="B319" s="24" t="n"/>
      <c r="C319" s="29" t="n"/>
      <c r="D319" s="7">
        <f>IF(C319="","",C319*$B$1)</f>
        <v/>
      </c>
      <c r="E319" s="8">
        <f>IF(C319="","",C319-D319)</f>
        <v/>
      </c>
      <c r="F319" s="18">
        <f>IF(OR(B319="",C319=""),"",E319-B319)</f>
        <v/>
      </c>
      <c r="G319" s="20">
        <f>IF(OR(B319="",B319=0),"",F319/B319)</f>
        <v/>
      </c>
      <c r="H319" s="9" t="n"/>
    </row>
    <row r="320" ht="19.5" customHeight="1" s="49">
      <c r="A320" s="10" t="n"/>
      <c r="B320" s="25" t="n"/>
      <c r="C320" s="30" t="n"/>
      <c r="D320" s="11">
        <f>IF(C320="","",C320*$B$1)</f>
        <v/>
      </c>
      <c r="E320" s="12">
        <f>IF(C320="","",C320-D320)</f>
        <v/>
      </c>
      <c r="F320" s="19">
        <f>IF(OR(B320="",C320=""),"",E320-B320)</f>
        <v/>
      </c>
      <c r="G320" s="21">
        <f>IF(OR(B320="",B320=0),"",F320/B320)</f>
        <v/>
      </c>
      <c r="H320" s="13" t="n"/>
    </row>
    <row r="321" ht="19.5" customHeight="1" s="49">
      <c r="A321" s="6" t="n"/>
      <c r="B321" s="24" t="n"/>
      <c r="C321" s="29" t="n"/>
      <c r="D321" s="7">
        <f>IF(C321="","",C321*$B$1)</f>
        <v/>
      </c>
      <c r="E321" s="8">
        <f>IF(C321="","",C321-D321)</f>
        <v/>
      </c>
      <c r="F321" s="18">
        <f>IF(OR(B321="",C321=""),"",E321-B321)</f>
        <v/>
      </c>
      <c r="G321" s="20">
        <f>IF(OR(B321="",B321=0),"",F321/B321)</f>
        <v/>
      </c>
      <c r="H321" s="9" t="n"/>
    </row>
    <row r="322" ht="19.5" customHeight="1" s="49">
      <c r="A322" s="10" t="n"/>
      <c r="B322" s="25" t="n"/>
      <c r="C322" s="30" t="n"/>
      <c r="D322" s="11">
        <f>IF(C322="","",C322*$B$1)</f>
        <v/>
      </c>
      <c r="E322" s="12">
        <f>IF(C322="","",C322-D322)</f>
        <v/>
      </c>
      <c r="F322" s="19">
        <f>IF(OR(B322="",C322=""),"",E322-B322)</f>
        <v/>
      </c>
      <c r="G322" s="21">
        <f>IF(OR(B322="",B322=0),"",F322/B322)</f>
        <v/>
      </c>
      <c r="H322" s="13" t="n"/>
    </row>
    <row r="323" ht="19.5" customHeight="1" s="49">
      <c r="A323" s="6" t="n"/>
      <c r="B323" s="24" t="n"/>
      <c r="C323" s="29" t="n"/>
      <c r="D323" s="7">
        <f>IF(C323="","",C323*$B$1)</f>
        <v/>
      </c>
      <c r="E323" s="8">
        <f>IF(C323="","",C323-D323)</f>
        <v/>
      </c>
      <c r="F323" s="18">
        <f>IF(OR(B323="",C323=""),"",E323-B323)</f>
        <v/>
      </c>
      <c r="G323" s="20">
        <f>IF(OR(B323="",B323=0),"",F323/B323)</f>
        <v/>
      </c>
      <c r="H323" s="9" t="n"/>
    </row>
    <row r="324" ht="19.5" customHeight="1" s="49">
      <c r="A324" s="10" t="n"/>
      <c r="B324" s="25" t="n"/>
      <c r="C324" s="30" t="n"/>
      <c r="D324" s="11">
        <f>IF(C324="","",C324*$B$1)</f>
        <v/>
      </c>
      <c r="E324" s="12">
        <f>IF(C324="","",C324-D324)</f>
        <v/>
      </c>
      <c r="F324" s="19">
        <f>IF(OR(B324="",C324=""),"",E324-B324)</f>
        <v/>
      </c>
      <c r="G324" s="21">
        <f>IF(OR(B324="",B324=0),"",F324/B324)</f>
        <v/>
      </c>
      <c r="H324" s="13" t="n"/>
    </row>
    <row r="325" ht="19.5" customHeight="1" s="49">
      <c r="A325" s="6" t="n"/>
      <c r="B325" s="24" t="n"/>
      <c r="C325" s="29" t="n"/>
      <c r="D325" s="7">
        <f>IF(C325="","",C325*$B$1)</f>
        <v/>
      </c>
      <c r="E325" s="8">
        <f>IF(C325="","",C325-D325)</f>
        <v/>
      </c>
      <c r="F325" s="18">
        <f>IF(OR(B325="",C325=""),"",E325-B325)</f>
        <v/>
      </c>
      <c r="G325" s="20">
        <f>IF(OR(B325="",B325=0),"",F325/B325)</f>
        <v/>
      </c>
      <c r="H325" s="9" t="n"/>
    </row>
    <row r="326" ht="19.5" customHeight="1" s="49">
      <c r="A326" s="10" t="n"/>
      <c r="B326" s="25" t="n"/>
      <c r="C326" s="30" t="n"/>
      <c r="D326" s="11">
        <f>IF(C326="","",C326*$B$1)</f>
        <v/>
      </c>
      <c r="E326" s="12">
        <f>IF(C326="","",C326-D326)</f>
        <v/>
      </c>
      <c r="F326" s="19">
        <f>IF(OR(B326="",C326=""),"",E326-B326)</f>
        <v/>
      </c>
      <c r="G326" s="21">
        <f>IF(OR(B326="",B326=0),"",F326/B326)</f>
        <v/>
      </c>
      <c r="H326" s="13" t="n"/>
    </row>
    <row r="327" ht="19.5" customHeight="1" s="49">
      <c r="A327" s="6" t="n"/>
      <c r="B327" s="24" t="n"/>
      <c r="C327" s="29" t="n"/>
      <c r="D327" s="7">
        <f>IF(C327="","",C327*$B$1)</f>
        <v/>
      </c>
      <c r="E327" s="8">
        <f>IF(C327="","",C327-D327)</f>
        <v/>
      </c>
      <c r="F327" s="18">
        <f>IF(OR(B327="",C327=""),"",E327-B327)</f>
        <v/>
      </c>
      <c r="G327" s="20">
        <f>IF(OR(B327="",B327=0),"",F327/B327)</f>
        <v/>
      </c>
      <c r="H327" s="9" t="n"/>
    </row>
    <row r="328" ht="19.5" customHeight="1" s="49">
      <c r="A328" s="10" t="n"/>
      <c r="B328" s="25" t="n"/>
      <c r="C328" s="30" t="n"/>
      <c r="D328" s="11">
        <f>IF(C328="","",C328*$B$1)</f>
        <v/>
      </c>
      <c r="E328" s="12">
        <f>IF(C328="","",C328-D328)</f>
        <v/>
      </c>
      <c r="F328" s="19">
        <f>IF(OR(B328="",C328=""),"",E328-B328)</f>
        <v/>
      </c>
      <c r="G328" s="21">
        <f>IF(OR(B328="",B328=0),"",F328/B328)</f>
        <v/>
      </c>
      <c r="H328" s="13" t="n"/>
    </row>
    <row r="329" ht="19.5" customHeight="1" s="49">
      <c r="A329" s="6" t="n"/>
      <c r="B329" s="24" t="n"/>
      <c r="C329" s="29" t="n"/>
      <c r="D329" s="7">
        <f>IF(C329="","",C329*$B$1)</f>
        <v/>
      </c>
      <c r="E329" s="8">
        <f>IF(C329="","",C329-D329)</f>
        <v/>
      </c>
      <c r="F329" s="18">
        <f>IF(OR(B329="",C329=""),"",E329-B329)</f>
        <v/>
      </c>
      <c r="G329" s="20">
        <f>IF(OR(B329="",B329=0),"",F329/B329)</f>
        <v/>
      </c>
      <c r="H329" s="9" t="n"/>
    </row>
    <row r="330" ht="19.5" customHeight="1" s="49">
      <c r="A330" s="10" t="n"/>
      <c r="B330" s="25" t="n"/>
      <c r="C330" s="30" t="n"/>
      <c r="D330" s="11">
        <f>IF(C330="","",C330*$B$1)</f>
        <v/>
      </c>
      <c r="E330" s="12">
        <f>IF(C330="","",C330-D330)</f>
        <v/>
      </c>
      <c r="F330" s="19">
        <f>IF(OR(B330="",C330=""),"",E330-B330)</f>
        <v/>
      </c>
      <c r="G330" s="21">
        <f>IF(OR(B330="",B330=0),"",F330/B330)</f>
        <v/>
      </c>
      <c r="H330" s="13" t="n"/>
    </row>
    <row r="331" ht="19.5" customHeight="1" s="49">
      <c r="A331" s="6" t="n"/>
      <c r="B331" s="24" t="n"/>
      <c r="C331" s="29" t="n"/>
      <c r="D331" s="7">
        <f>IF(C331="","",C331*$B$1)</f>
        <v/>
      </c>
      <c r="E331" s="8">
        <f>IF(C331="","",C331-D331)</f>
        <v/>
      </c>
      <c r="F331" s="18">
        <f>IF(OR(B331="",C331=""),"",E331-B331)</f>
        <v/>
      </c>
      <c r="G331" s="20">
        <f>IF(OR(B331="",B331=0),"",F331/B331)</f>
        <v/>
      </c>
      <c r="H331" s="9" t="n"/>
    </row>
    <row r="332" ht="19.5" customHeight="1" s="49">
      <c r="A332" s="10" t="n"/>
      <c r="B332" s="25" t="n"/>
      <c r="C332" s="30" t="n"/>
      <c r="D332" s="11">
        <f>IF(C332="","",C332*$B$1)</f>
        <v/>
      </c>
      <c r="E332" s="12">
        <f>IF(C332="","",C332-D332)</f>
        <v/>
      </c>
      <c r="F332" s="19">
        <f>IF(OR(B332="",C332=""),"",E332-B332)</f>
        <v/>
      </c>
      <c r="G332" s="21">
        <f>IF(OR(B332="",B332=0),"",F332/B332)</f>
        <v/>
      </c>
      <c r="H332" s="13" t="n"/>
    </row>
    <row r="333" ht="19.5" customHeight="1" s="49">
      <c r="A333" s="6" t="n"/>
      <c r="B333" s="24" t="n"/>
      <c r="C333" s="29" t="n"/>
      <c r="D333" s="7">
        <f>IF(C333="","",C333*$B$1)</f>
        <v/>
      </c>
      <c r="E333" s="8">
        <f>IF(C333="","",C333-D333)</f>
        <v/>
      </c>
      <c r="F333" s="18">
        <f>IF(OR(B333="",C333=""),"",E333-B333)</f>
        <v/>
      </c>
      <c r="G333" s="20">
        <f>IF(OR(B333="",B333=0),"",F333/B333)</f>
        <v/>
      </c>
      <c r="H333" s="9" t="n"/>
    </row>
    <row r="334" ht="19.5" customHeight="1" s="49">
      <c r="A334" s="10" t="n"/>
      <c r="B334" s="25" t="n"/>
      <c r="C334" s="30" t="n"/>
      <c r="D334" s="11">
        <f>IF(C334="","",C334*$B$1)</f>
        <v/>
      </c>
      <c r="E334" s="12">
        <f>IF(C334="","",C334-D334)</f>
        <v/>
      </c>
      <c r="F334" s="19">
        <f>IF(OR(B334="",C334=""),"",E334-B334)</f>
        <v/>
      </c>
      <c r="G334" s="21">
        <f>IF(OR(B334="",B334=0),"",F334/B334)</f>
        <v/>
      </c>
      <c r="H334" s="13" t="n"/>
    </row>
    <row r="335" ht="19.5" customHeight="1" s="49">
      <c r="A335" s="6" t="n"/>
      <c r="B335" s="24" t="n"/>
      <c r="C335" s="29" t="n"/>
      <c r="D335" s="7">
        <f>IF(C335="","",C335*$B$1)</f>
        <v/>
      </c>
      <c r="E335" s="8">
        <f>IF(C335="","",C335-D335)</f>
        <v/>
      </c>
      <c r="F335" s="18">
        <f>IF(OR(B335="",C335=""),"",E335-B335)</f>
        <v/>
      </c>
      <c r="G335" s="20">
        <f>IF(OR(B335="",B335=0),"",F335/B335)</f>
        <v/>
      </c>
      <c r="H335" s="9" t="n"/>
    </row>
    <row r="336" ht="19.5" customHeight="1" s="49">
      <c r="A336" s="10" t="n"/>
      <c r="B336" s="25" t="n"/>
      <c r="C336" s="30" t="n"/>
      <c r="D336" s="11">
        <f>IF(C336="","",C336*$B$1)</f>
        <v/>
      </c>
      <c r="E336" s="12">
        <f>IF(C336="","",C336-D336)</f>
        <v/>
      </c>
      <c r="F336" s="19">
        <f>IF(OR(B336="",C336=""),"",E336-B336)</f>
        <v/>
      </c>
      <c r="G336" s="21">
        <f>IF(OR(B336="",B336=0),"",F336/B336)</f>
        <v/>
      </c>
      <c r="H336" s="13" t="n"/>
    </row>
    <row r="337" ht="19.5" customHeight="1" s="49">
      <c r="A337" s="6" t="n"/>
      <c r="B337" s="24" t="n"/>
      <c r="C337" s="29" t="n"/>
      <c r="D337" s="7">
        <f>IF(C337="","",C337*$B$1)</f>
        <v/>
      </c>
      <c r="E337" s="8">
        <f>IF(C337="","",C337-D337)</f>
        <v/>
      </c>
      <c r="F337" s="18">
        <f>IF(OR(B337="",C337=""),"",E337-B337)</f>
        <v/>
      </c>
      <c r="G337" s="20">
        <f>IF(OR(B337="",B337=0),"",F337/B337)</f>
        <v/>
      </c>
      <c r="H337" s="9" t="n"/>
    </row>
    <row r="338" ht="19.5" customHeight="1" s="49">
      <c r="A338" s="10" t="n"/>
      <c r="B338" s="25" t="n"/>
      <c r="C338" s="30" t="n"/>
      <c r="D338" s="11">
        <f>IF(C338="","",C338*$B$1)</f>
        <v/>
      </c>
      <c r="E338" s="12">
        <f>IF(C338="","",C338-D338)</f>
        <v/>
      </c>
      <c r="F338" s="19">
        <f>IF(OR(B338="",C338=""),"",E338-B338)</f>
        <v/>
      </c>
      <c r="G338" s="21">
        <f>IF(OR(B338="",B338=0),"",F338/B338)</f>
        <v/>
      </c>
      <c r="H338" s="13" t="n"/>
    </row>
    <row r="339" ht="19.5" customHeight="1" s="49">
      <c r="A339" s="6" t="n"/>
      <c r="B339" s="24" t="n"/>
      <c r="C339" s="29" t="n"/>
      <c r="D339" s="7">
        <f>IF(C339="","",C339*$B$1)</f>
        <v/>
      </c>
      <c r="E339" s="8">
        <f>IF(C339="","",C339-D339)</f>
        <v/>
      </c>
      <c r="F339" s="18">
        <f>IF(OR(B339="",C339=""),"",E339-B339)</f>
        <v/>
      </c>
      <c r="G339" s="20">
        <f>IF(OR(B339="",B339=0),"",F339/B339)</f>
        <v/>
      </c>
      <c r="H339" s="9" t="n"/>
    </row>
    <row r="340" ht="19.5" customHeight="1" s="49">
      <c r="A340" s="10" t="n"/>
      <c r="B340" s="25" t="n"/>
      <c r="C340" s="30" t="n"/>
      <c r="D340" s="11">
        <f>IF(C340="","",C340*$B$1)</f>
        <v/>
      </c>
      <c r="E340" s="12">
        <f>IF(C340="","",C340-D340)</f>
        <v/>
      </c>
      <c r="F340" s="19">
        <f>IF(OR(B340="",C340=""),"",E340-B340)</f>
        <v/>
      </c>
      <c r="G340" s="21">
        <f>IF(OR(B340="",B340=0),"",F340/B340)</f>
        <v/>
      </c>
      <c r="H340" s="13" t="n"/>
    </row>
    <row r="341" ht="19.5" customHeight="1" s="49">
      <c r="A341" s="6" t="n"/>
      <c r="B341" s="24" t="n"/>
      <c r="C341" s="29" t="n"/>
      <c r="D341" s="7">
        <f>IF(C341="","",C341*$B$1)</f>
        <v/>
      </c>
      <c r="E341" s="8">
        <f>IF(C341="","",C341-D341)</f>
        <v/>
      </c>
      <c r="F341" s="18">
        <f>IF(OR(B341="",C341=""),"",E341-B341)</f>
        <v/>
      </c>
      <c r="G341" s="20">
        <f>IF(OR(B341="",B341=0),"",F341/B341)</f>
        <v/>
      </c>
      <c r="H341" s="9" t="n"/>
    </row>
    <row r="342" ht="19.5" customHeight="1" s="49">
      <c r="A342" s="10" t="n"/>
      <c r="B342" s="25" t="n"/>
      <c r="C342" s="30" t="n"/>
      <c r="D342" s="11">
        <f>IF(C342="","",C342*$B$1)</f>
        <v/>
      </c>
      <c r="E342" s="12">
        <f>IF(C342="","",C342-D342)</f>
        <v/>
      </c>
      <c r="F342" s="19">
        <f>IF(OR(B342="",C342=""),"",E342-B342)</f>
        <v/>
      </c>
      <c r="G342" s="21">
        <f>IF(OR(B342="",B342=0),"",F342/B342)</f>
        <v/>
      </c>
      <c r="H342" s="13" t="n"/>
    </row>
    <row r="343" ht="19.5" customHeight="1" s="49">
      <c r="A343" s="6" t="n"/>
      <c r="B343" s="24" t="n"/>
      <c r="C343" s="29" t="n"/>
      <c r="D343" s="7">
        <f>IF(C343="","",C343*$B$1)</f>
        <v/>
      </c>
      <c r="E343" s="8">
        <f>IF(C343="","",C343-D343)</f>
        <v/>
      </c>
      <c r="F343" s="18">
        <f>IF(OR(B343="",C343=""),"",E343-B343)</f>
        <v/>
      </c>
      <c r="G343" s="20">
        <f>IF(OR(B343="",B343=0),"",F343/B343)</f>
        <v/>
      </c>
      <c r="H343" s="9" t="n"/>
    </row>
    <row r="344" ht="19.5" customHeight="1" s="49">
      <c r="A344" s="10" t="n"/>
      <c r="B344" s="25" t="n"/>
      <c r="C344" s="30" t="n"/>
      <c r="D344" s="11">
        <f>IF(C344="","",C344*$B$1)</f>
        <v/>
      </c>
      <c r="E344" s="12">
        <f>IF(C344="","",C344-D344)</f>
        <v/>
      </c>
      <c r="F344" s="19">
        <f>IF(OR(B344="",C344=""),"",E344-B344)</f>
        <v/>
      </c>
      <c r="G344" s="21">
        <f>IF(OR(B344="",B344=0),"",F344/B344)</f>
        <v/>
      </c>
      <c r="H344" s="13" t="n"/>
    </row>
    <row r="345" ht="19.5" customHeight="1" s="49">
      <c r="A345" s="6" t="n"/>
      <c r="B345" s="24" t="n"/>
      <c r="C345" s="29" t="n"/>
      <c r="D345" s="7">
        <f>IF(C345="","",C345*$B$1)</f>
        <v/>
      </c>
      <c r="E345" s="8">
        <f>IF(C345="","",C345-D345)</f>
        <v/>
      </c>
      <c r="F345" s="18">
        <f>IF(OR(B345="",C345=""),"",E345-B345)</f>
        <v/>
      </c>
      <c r="G345" s="20">
        <f>IF(OR(B345="",B345=0),"",F345/B345)</f>
        <v/>
      </c>
      <c r="H345" s="9" t="n"/>
    </row>
    <row r="346" ht="19.5" customHeight="1" s="49">
      <c r="A346" s="10" t="n"/>
      <c r="B346" s="25" t="n"/>
      <c r="C346" s="30" t="n"/>
      <c r="D346" s="11">
        <f>IF(C346="","",C346*$B$1)</f>
        <v/>
      </c>
      <c r="E346" s="12">
        <f>IF(C346="","",C346-D346)</f>
        <v/>
      </c>
      <c r="F346" s="19">
        <f>IF(OR(B346="",C346=""),"",E346-B346)</f>
        <v/>
      </c>
      <c r="G346" s="21">
        <f>IF(OR(B346="",B346=0),"",F346/B346)</f>
        <v/>
      </c>
      <c r="H346" s="13" t="n"/>
    </row>
    <row r="347" ht="19.5" customHeight="1" s="49">
      <c r="A347" s="6" t="n"/>
      <c r="B347" s="24" t="n"/>
      <c r="C347" s="29" t="n"/>
      <c r="D347" s="7">
        <f>IF(C347="","",C347*$B$1)</f>
        <v/>
      </c>
      <c r="E347" s="8">
        <f>IF(C347="","",C347-D347)</f>
        <v/>
      </c>
      <c r="F347" s="18">
        <f>IF(OR(B347="",C347=""),"",E347-B347)</f>
        <v/>
      </c>
      <c r="G347" s="20">
        <f>IF(OR(B347="",B347=0),"",F347/B347)</f>
        <v/>
      </c>
      <c r="H347" s="9" t="n"/>
    </row>
    <row r="348" ht="19.5" customHeight="1" s="49">
      <c r="A348" s="10" t="n"/>
      <c r="B348" s="25" t="n"/>
      <c r="C348" s="30" t="n"/>
      <c r="D348" s="11">
        <f>IF(C348="","",C348*$B$1)</f>
        <v/>
      </c>
      <c r="E348" s="12">
        <f>IF(C348="","",C348-D348)</f>
        <v/>
      </c>
      <c r="F348" s="19">
        <f>IF(OR(B348="",C348=""),"",E348-B348)</f>
        <v/>
      </c>
      <c r="G348" s="21">
        <f>IF(OR(B348="",B348=0),"",F348/B348)</f>
        <v/>
      </c>
      <c r="H348" s="13" t="n"/>
    </row>
    <row r="349" ht="19.5" customHeight="1" s="49">
      <c r="A349" s="6" t="n"/>
      <c r="B349" s="24" t="n"/>
      <c r="C349" s="29" t="n"/>
      <c r="D349" s="7">
        <f>IF(C349="","",C349*$B$1)</f>
        <v/>
      </c>
      <c r="E349" s="8">
        <f>IF(C349="","",C349-D349)</f>
        <v/>
      </c>
      <c r="F349" s="18">
        <f>IF(OR(B349="",C349=""),"",E349-B349)</f>
        <v/>
      </c>
      <c r="G349" s="20">
        <f>IF(OR(B349="",B349=0),"",F349/B349)</f>
        <v/>
      </c>
      <c r="H349" s="9" t="n"/>
    </row>
    <row r="350" ht="19.5" customHeight="1" s="49">
      <c r="A350" s="10" t="n"/>
      <c r="B350" s="25" t="n"/>
      <c r="C350" s="30" t="n"/>
      <c r="D350" s="11">
        <f>IF(C350="","",C350*$B$1)</f>
        <v/>
      </c>
      <c r="E350" s="12">
        <f>IF(C350="","",C350-D350)</f>
        <v/>
      </c>
      <c r="F350" s="19">
        <f>IF(OR(B350="",C350=""),"",E350-B350)</f>
        <v/>
      </c>
      <c r="G350" s="21">
        <f>IF(OR(B350="",B350=0),"",F350/B350)</f>
        <v/>
      </c>
      <c r="H350" s="13" t="n"/>
    </row>
    <row r="351" ht="19.5" customHeight="1" s="49">
      <c r="A351" s="6" t="n"/>
      <c r="B351" s="24" t="n"/>
      <c r="C351" s="29" t="n"/>
      <c r="D351" s="7">
        <f>IF(C351="","",C351*$B$1)</f>
        <v/>
      </c>
      <c r="E351" s="8">
        <f>IF(C351="","",C351-D351)</f>
        <v/>
      </c>
      <c r="F351" s="18">
        <f>IF(OR(B351="",C351=""),"",E351-B351)</f>
        <v/>
      </c>
      <c r="G351" s="20">
        <f>IF(OR(B351="",B351=0),"",F351/B351)</f>
        <v/>
      </c>
      <c r="H351" s="9" t="n"/>
    </row>
    <row r="352" ht="19.5" customHeight="1" s="49">
      <c r="A352" s="10" t="n"/>
      <c r="B352" s="25" t="n"/>
      <c r="C352" s="30" t="n"/>
      <c r="D352" s="11">
        <f>IF(C352="","",C352*$B$1)</f>
        <v/>
      </c>
      <c r="E352" s="12">
        <f>IF(C352="","",C352-D352)</f>
        <v/>
      </c>
      <c r="F352" s="19">
        <f>IF(OR(B352="",C352=""),"",E352-B352)</f>
        <v/>
      </c>
      <c r="G352" s="21">
        <f>IF(OR(B352="",B352=0),"",F352/B352)</f>
        <v/>
      </c>
      <c r="H352" s="13" t="n"/>
    </row>
    <row r="353" ht="19.5" customHeight="1" s="49">
      <c r="A353" s="6" t="n"/>
      <c r="B353" s="24" t="n"/>
      <c r="C353" s="29" t="n"/>
      <c r="D353" s="7">
        <f>IF(C353="","",C353*$B$1)</f>
        <v/>
      </c>
      <c r="E353" s="8">
        <f>IF(C353="","",C353-D353)</f>
        <v/>
      </c>
      <c r="F353" s="18">
        <f>IF(OR(B353="",C353=""),"",E353-B353)</f>
        <v/>
      </c>
      <c r="G353" s="20">
        <f>IF(OR(B353="",B353=0),"",F353/B353)</f>
        <v/>
      </c>
      <c r="H353" s="9" t="n"/>
    </row>
    <row r="354" ht="19.5" customHeight="1" s="49">
      <c r="A354" s="10" t="n"/>
      <c r="B354" s="25" t="n"/>
      <c r="C354" s="30" t="n"/>
      <c r="D354" s="11">
        <f>IF(C354="","",C354*$B$1)</f>
        <v/>
      </c>
      <c r="E354" s="12">
        <f>IF(C354="","",C354-D354)</f>
        <v/>
      </c>
      <c r="F354" s="19">
        <f>IF(OR(B354="",C354=""),"",E354-B354)</f>
        <v/>
      </c>
      <c r="G354" s="21">
        <f>IF(OR(B354="",B354=0),"",F354/B354)</f>
        <v/>
      </c>
      <c r="H354" s="13" t="n"/>
    </row>
    <row r="355" ht="19.5" customHeight="1" s="49">
      <c r="A355" s="6" t="n"/>
      <c r="B355" s="24" t="n"/>
      <c r="C355" s="29" t="n"/>
      <c r="D355" s="7">
        <f>IF(C355="","",C355*$B$1)</f>
        <v/>
      </c>
      <c r="E355" s="8">
        <f>IF(C355="","",C355-D355)</f>
        <v/>
      </c>
      <c r="F355" s="18">
        <f>IF(OR(B355="",C355=""),"",E355-B355)</f>
        <v/>
      </c>
      <c r="G355" s="20">
        <f>IF(OR(B355="",B355=0),"",F355/B355)</f>
        <v/>
      </c>
      <c r="H355" s="9" t="n"/>
    </row>
    <row r="356" ht="19.5" customHeight="1" s="49">
      <c r="A356" s="10" t="n"/>
      <c r="B356" s="25" t="n"/>
      <c r="C356" s="30" t="n"/>
      <c r="D356" s="11">
        <f>IF(C356="","",C356*$B$1)</f>
        <v/>
      </c>
      <c r="E356" s="12">
        <f>IF(C356="","",C356-D356)</f>
        <v/>
      </c>
      <c r="F356" s="19">
        <f>IF(OR(B356="",C356=""),"",E356-B356)</f>
        <v/>
      </c>
      <c r="G356" s="21">
        <f>IF(OR(B356="",B356=0),"",F356/B356)</f>
        <v/>
      </c>
      <c r="H356" s="13" t="n"/>
    </row>
    <row r="357" ht="19.5" customHeight="1" s="49">
      <c r="A357" s="6" t="n"/>
      <c r="B357" s="24" t="n"/>
      <c r="C357" s="29" t="n"/>
      <c r="D357" s="7">
        <f>IF(C357="","",C357*$B$1)</f>
        <v/>
      </c>
      <c r="E357" s="8">
        <f>IF(C357="","",C357-D357)</f>
        <v/>
      </c>
      <c r="F357" s="18">
        <f>IF(OR(B357="",C357=""),"",E357-B357)</f>
        <v/>
      </c>
      <c r="G357" s="20">
        <f>IF(OR(B357="",B357=0),"",F357/B357)</f>
        <v/>
      </c>
      <c r="H357" s="9" t="n"/>
    </row>
    <row r="358" ht="19.5" customHeight="1" s="49">
      <c r="A358" s="10" t="n"/>
      <c r="B358" s="25" t="n"/>
      <c r="C358" s="30" t="n"/>
      <c r="D358" s="11">
        <f>IF(C358="","",C358*$B$1)</f>
        <v/>
      </c>
      <c r="E358" s="12">
        <f>IF(C358="","",C358-D358)</f>
        <v/>
      </c>
      <c r="F358" s="19">
        <f>IF(OR(B358="",C358=""),"",E358-B358)</f>
        <v/>
      </c>
      <c r="G358" s="21">
        <f>IF(OR(B358="",B358=0),"",F358/B358)</f>
        <v/>
      </c>
      <c r="H358" s="13" t="n"/>
    </row>
    <row r="359" ht="19.5" customHeight="1" s="49">
      <c r="A359" s="6" t="n"/>
      <c r="B359" s="24" t="n"/>
      <c r="C359" s="29" t="n"/>
      <c r="D359" s="7">
        <f>IF(C359="","",C359*$B$1)</f>
        <v/>
      </c>
      <c r="E359" s="8">
        <f>IF(C359="","",C359-D359)</f>
        <v/>
      </c>
      <c r="F359" s="18">
        <f>IF(OR(B359="",C359=""),"",E359-B359)</f>
        <v/>
      </c>
      <c r="G359" s="20">
        <f>IF(OR(B359="",B359=0),"",F359/B359)</f>
        <v/>
      </c>
      <c r="H359" s="9" t="n"/>
    </row>
    <row r="360" ht="19.5" customHeight="1" s="49">
      <c r="A360" s="10" t="n"/>
      <c r="B360" s="25" t="n"/>
      <c r="C360" s="30" t="n"/>
      <c r="D360" s="11">
        <f>IF(C360="","",C360*$B$1)</f>
        <v/>
      </c>
      <c r="E360" s="12">
        <f>IF(C360="","",C360-D360)</f>
        <v/>
      </c>
      <c r="F360" s="19">
        <f>IF(OR(B360="",C360=""),"",E360-B360)</f>
        <v/>
      </c>
      <c r="G360" s="21">
        <f>IF(OR(B360="",B360=0),"",F360/B360)</f>
        <v/>
      </c>
      <c r="H360" s="13" t="n"/>
    </row>
    <row r="361" ht="19.5" customHeight="1" s="49">
      <c r="A361" s="6" t="n"/>
      <c r="B361" s="24" t="n"/>
      <c r="C361" s="29" t="n"/>
      <c r="D361" s="7">
        <f>IF(C361="","",C361*$B$1)</f>
        <v/>
      </c>
      <c r="E361" s="8">
        <f>IF(C361="","",C361-D361)</f>
        <v/>
      </c>
      <c r="F361" s="18">
        <f>IF(OR(B361="",C361=""),"",E361-B361)</f>
        <v/>
      </c>
      <c r="G361" s="20">
        <f>IF(OR(B361="",B361=0),"",F361/B361)</f>
        <v/>
      </c>
      <c r="H361" s="9" t="n"/>
    </row>
    <row r="362" ht="19.5" customHeight="1" s="49">
      <c r="A362" s="10" t="n"/>
      <c r="B362" s="25" t="n"/>
      <c r="C362" s="30" t="n"/>
      <c r="D362" s="11">
        <f>IF(C362="","",C362*$B$1)</f>
        <v/>
      </c>
      <c r="E362" s="12">
        <f>IF(C362="","",C362-D362)</f>
        <v/>
      </c>
      <c r="F362" s="19">
        <f>IF(OR(B362="",C362=""),"",E362-B362)</f>
        <v/>
      </c>
      <c r="G362" s="21">
        <f>IF(OR(B362="",B362=0),"",F362/B362)</f>
        <v/>
      </c>
      <c r="H362" s="13" t="n"/>
    </row>
    <row r="363" ht="19.5" customHeight="1" s="49">
      <c r="A363" s="6" t="n"/>
      <c r="B363" s="24" t="n"/>
      <c r="C363" s="29" t="n"/>
      <c r="D363" s="7">
        <f>IF(C363="","",C363*$B$1)</f>
        <v/>
      </c>
      <c r="E363" s="8">
        <f>IF(C363="","",C363-D363)</f>
        <v/>
      </c>
      <c r="F363" s="18">
        <f>IF(OR(B363="",C363=""),"",E363-B363)</f>
        <v/>
      </c>
      <c r="G363" s="20">
        <f>IF(OR(B363="",B363=0),"",F363/B363)</f>
        <v/>
      </c>
      <c r="H363" s="9" t="n"/>
    </row>
    <row r="364" ht="19.5" customHeight="1" s="49">
      <c r="A364" s="10" t="n"/>
      <c r="B364" s="25" t="n"/>
      <c r="C364" s="30" t="n"/>
      <c r="D364" s="11">
        <f>IF(C364="","",C364*$B$1)</f>
        <v/>
      </c>
      <c r="E364" s="12">
        <f>IF(C364="","",C364-D364)</f>
        <v/>
      </c>
      <c r="F364" s="19">
        <f>IF(OR(B364="",C364=""),"",E364-B364)</f>
        <v/>
      </c>
      <c r="G364" s="21">
        <f>IF(OR(B364="",B364=0),"",F364/B364)</f>
        <v/>
      </c>
      <c r="H364" s="13" t="n"/>
    </row>
    <row r="365" ht="19.5" customHeight="1" s="49">
      <c r="A365" s="6" t="n"/>
      <c r="B365" s="24" t="n"/>
      <c r="C365" s="29" t="n"/>
      <c r="D365" s="7">
        <f>IF(C365="","",C365*$B$1)</f>
        <v/>
      </c>
      <c r="E365" s="8">
        <f>IF(C365="","",C365-D365)</f>
        <v/>
      </c>
      <c r="F365" s="18">
        <f>IF(OR(B365="",C365=""),"",E365-B365)</f>
        <v/>
      </c>
      <c r="G365" s="20">
        <f>IF(OR(B365="",B365=0),"",F365/B365)</f>
        <v/>
      </c>
      <c r="H365" s="9" t="n"/>
    </row>
    <row r="366" ht="19.5" customHeight="1" s="49">
      <c r="A366" s="10" t="n"/>
      <c r="B366" s="25" t="n"/>
      <c r="C366" s="30" t="n"/>
      <c r="D366" s="11">
        <f>IF(C366="","",C366*$B$1)</f>
        <v/>
      </c>
      <c r="E366" s="12">
        <f>IF(C366="","",C366-D366)</f>
        <v/>
      </c>
      <c r="F366" s="19">
        <f>IF(OR(B366="",C366=""),"",E366-B366)</f>
        <v/>
      </c>
      <c r="G366" s="21">
        <f>IF(OR(B366="",B366=0),"",F366/B366)</f>
        <v/>
      </c>
      <c r="H366" s="13" t="n"/>
    </row>
    <row r="367" ht="19.5" customHeight="1" s="49">
      <c r="A367" s="6" t="n"/>
      <c r="B367" s="24" t="n"/>
      <c r="C367" s="29" t="n"/>
      <c r="D367" s="7">
        <f>IF(C367="","",C367*$B$1)</f>
        <v/>
      </c>
      <c r="E367" s="8">
        <f>IF(C367="","",C367-D367)</f>
        <v/>
      </c>
      <c r="F367" s="18">
        <f>IF(OR(B367="",C367=""),"",E367-B367)</f>
        <v/>
      </c>
      <c r="G367" s="20">
        <f>IF(OR(B367="",B367=0),"",F367/B367)</f>
        <v/>
      </c>
      <c r="H367" s="9" t="n"/>
    </row>
    <row r="368" ht="19.5" customHeight="1" s="49">
      <c r="A368" s="10" t="n"/>
      <c r="B368" s="25" t="n"/>
      <c r="C368" s="30" t="n"/>
      <c r="D368" s="11">
        <f>IF(C368="","",C368*$B$1)</f>
        <v/>
      </c>
      <c r="E368" s="12">
        <f>IF(C368="","",C368-D368)</f>
        <v/>
      </c>
      <c r="F368" s="19">
        <f>IF(OR(B368="",C368=""),"",E368-B368)</f>
        <v/>
      </c>
      <c r="G368" s="21">
        <f>IF(OR(B368="",B368=0),"",F368/B368)</f>
        <v/>
      </c>
      <c r="H368" s="13" t="n"/>
    </row>
    <row r="369" ht="19.5" customHeight="1" s="49">
      <c r="A369" s="6" t="n"/>
      <c r="B369" s="24" t="n"/>
      <c r="C369" s="29" t="n"/>
      <c r="D369" s="7">
        <f>IF(C369="","",C369*$B$1)</f>
        <v/>
      </c>
      <c r="E369" s="8">
        <f>IF(C369="","",C369-D369)</f>
        <v/>
      </c>
      <c r="F369" s="18">
        <f>IF(OR(B369="",C369=""),"",E369-B369)</f>
        <v/>
      </c>
      <c r="G369" s="20">
        <f>IF(OR(B369="",B369=0),"",F369/B369)</f>
        <v/>
      </c>
      <c r="H369" s="9" t="n"/>
    </row>
    <row r="370" ht="19.5" customHeight="1" s="49">
      <c r="A370" s="10" t="n"/>
      <c r="B370" s="25" t="n"/>
      <c r="C370" s="30" t="n"/>
      <c r="D370" s="11">
        <f>IF(C370="","",C370*$B$1)</f>
        <v/>
      </c>
      <c r="E370" s="12">
        <f>IF(C370="","",C370-D370)</f>
        <v/>
      </c>
      <c r="F370" s="19">
        <f>IF(OR(B370="",C370=""),"",E370-B370)</f>
        <v/>
      </c>
      <c r="G370" s="21">
        <f>IF(OR(B370="",B370=0),"",F370/B370)</f>
        <v/>
      </c>
      <c r="H370" s="13" t="n"/>
    </row>
    <row r="371" ht="19.5" customHeight="1" s="49">
      <c r="A371" s="6" t="n"/>
      <c r="B371" s="24" t="n"/>
      <c r="C371" s="29" t="n"/>
      <c r="D371" s="7">
        <f>IF(C371="","",C371*$B$1)</f>
        <v/>
      </c>
      <c r="E371" s="8">
        <f>IF(C371="","",C371-D371)</f>
        <v/>
      </c>
      <c r="F371" s="18">
        <f>IF(OR(B371="",C371=""),"",E371-B371)</f>
        <v/>
      </c>
      <c r="G371" s="20">
        <f>IF(OR(B371="",B371=0),"",F371/B371)</f>
        <v/>
      </c>
      <c r="H371" s="9" t="n"/>
    </row>
    <row r="372" ht="19.5" customHeight="1" s="49">
      <c r="A372" s="10" t="n"/>
      <c r="B372" s="25" t="n"/>
      <c r="C372" s="30" t="n"/>
      <c r="D372" s="11">
        <f>IF(C372="","",C372*$B$1)</f>
        <v/>
      </c>
      <c r="E372" s="12">
        <f>IF(C372="","",C372-D372)</f>
        <v/>
      </c>
      <c r="F372" s="19">
        <f>IF(OR(B372="",C372=""),"",E372-B372)</f>
        <v/>
      </c>
      <c r="G372" s="21">
        <f>IF(OR(B372="",B372=0),"",F372/B372)</f>
        <v/>
      </c>
      <c r="H372" s="13" t="n"/>
    </row>
    <row r="373" ht="19.5" customHeight="1" s="49">
      <c r="A373" s="6" t="n"/>
      <c r="B373" s="24" t="n"/>
      <c r="C373" s="29" t="n"/>
      <c r="D373" s="7">
        <f>IF(C373="","",C373*$B$1)</f>
        <v/>
      </c>
      <c r="E373" s="8">
        <f>IF(C373="","",C373-D373)</f>
        <v/>
      </c>
      <c r="F373" s="18">
        <f>IF(OR(B373="",C373=""),"",E373-B373)</f>
        <v/>
      </c>
      <c r="G373" s="20">
        <f>IF(OR(B373="",B373=0),"",F373/B373)</f>
        <v/>
      </c>
      <c r="H373" s="9" t="n"/>
    </row>
    <row r="374" ht="19.5" customHeight="1" s="49">
      <c r="A374" s="10" t="n"/>
      <c r="B374" s="25" t="n"/>
      <c r="C374" s="30" t="n"/>
      <c r="D374" s="11">
        <f>IF(C374="","",C374*$B$1)</f>
        <v/>
      </c>
      <c r="E374" s="12">
        <f>IF(C374="","",C374-D374)</f>
        <v/>
      </c>
      <c r="F374" s="19">
        <f>IF(OR(B374="",C374=""),"",E374-B374)</f>
        <v/>
      </c>
      <c r="G374" s="21">
        <f>IF(OR(B374="",B374=0),"",F374/B374)</f>
        <v/>
      </c>
      <c r="H374" s="13" t="n"/>
    </row>
    <row r="375" ht="19.5" customHeight="1" s="49">
      <c r="A375" s="6" t="n"/>
      <c r="B375" s="24" t="n"/>
      <c r="C375" s="29" t="n"/>
      <c r="D375" s="7">
        <f>IF(C375="","",C375*$B$1)</f>
        <v/>
      </c>
      <c r="E375" s="8">
        <f>IF(C375="","",C375-D375)</f>
        <v/>
      </c>
      <c r="F375" s="18">
        <f>IF(OR(B375="",C375=""),"",E375-B375)</f>
        <v/>
      </c>
      <c r="G375" s="20">
        <f>IF(OR(B375="",B375=0),"",F375/B375)</f>
        <v/>
      </c>
      <c r="H375" s="9" t="n"/>
    </row>
    <row r="376" ht="19.5" customHeight="1" s="49">
      <c r="A376" s="10" t="n"/>
      <c r="B376" s="25" t="n"/>
      <c r="C376" s="30" t="n"/>
      <c r="D376" s="11">
        <f>IF(C376="","",C376*$B$1)</f>
        <v/>
      </c>
      <c r="E376" s="12">
        <f>IF(C376="","",C376-D376)</f>
        <v/>
      </c>
      <c r="F376" s="19">
        <f>IF(OR(B376="",C376=""),"",E376-B376)</f>
        <v/>
      </c>
      <c r="G376" s="21">
        <f>IF(OR(B376="",B376=0),"",F376/B376)</f>
        <v/>
      </c>
      <c r="H376" s="13" t="n"/>
    </row>
    <row r="377" ht="19.5" customHeight="1" s="49">
      <c r="A377" s="6" t="n"/>
      <c r="B377" s="24" t="n"/>
      <c r="C377" s="29" t="n"/>
      <c r="D377" s="7">
        <f>IF(C377="","",C377*$B$1)</f>
        <v/>
      </c>
      <c r="E377" s="8">
        <f>IF(C377="","",C377-D377)</f>
        <v/>
      </c>
      <c r="F377" s="18">
        <f>IF(OR(B377="",C377=""),"",E377-B377)</f>
        <v/>
      </c>
      <c r="G377" s="20">
        <f>IF(OR(B377="",B377=0),"",F377/B377)</f>
        <v/>
      </c>
      <c r="H377" s="9" t="n"/>
    </row>
    <row r="378" ht="19.5" customHeight="1" s="49">
      <c r="A378" s="10" t="n"/>
      <c r="B378" s="25" t="n"/>
      <c r="C378" s="30" t="n"/>
      <c r="D378" s="11">
        <f>IF(C378="","",C378*$B$1)</f>
        <v/>
      </c>
      <c r="E378" s="12">
        <f>IF(C378="","",C378-D378)</f>
        <v/>
      </c>
      <c r="F378" s="19">
        <f>IF(OR(B378="",C378=""),"",E378-B378)</f>
        <v/>
      </c>
      <c r="G378" s="21">
        <f>IF(OR(B378="",B378=0),"",F378/B378)</f>
        <v/>
      </c>
      <c r="H378" s="13" t="n"/>
    </row>
    <row r="379" ht="19.5" customHeight="1" s="49">
      <c r="A379" s="6" t="n"/>
      <c r="B379" s="24" t="n"/>
      <c r="C379" s="29" t="n"/>
      <c r="D379" s="7">
        <f>IF(C379="","",C379*$B$1)</f>
        <v/>
      </c>
      <c r="E379" s="8">
        <f>IF(C379="","",C379-D379)</f>
        <v/>
      </c>
      <c r="F379" s="18">
        <f>IF(OR(B379="",C379=""),"",E379-B379)</f>
        <v/>
      </c>
      <c r="G379" s="20">
        <f>IF(OR(B379="",B379=0),"",F379/B379)</f>
        <v/>
      </c>
      <c r="H379" s="9" t="n"/>
    </row>
    <row r="380" ht="19.5" customHeight="1" s="49">
      <c r="A380" s="10" t="n"/>
      <c r="B380" s="25" t="n"/>
      <c r="C380" s="30" t="n"/>
      <c r="D380" s="11">
        <f>IF(C380="","",C380*$B$1)</f>
        <v/>
      </c>
      <c r="E380" s="12">
        <f>IF(C380="","",C380-D380)</f>
        <v/>
      </c>
      <c r="F380" s="19">
        <f>IF(OR(B380="",C380=""),"",E380-B380)</f>
        <v/>
      </c>
      <c r="G380" s="21">
        <f>IF(OR(B380="",B380=0),"",F380/B380)</f>
        <v/>
      </c>
      <c r="H380" s="13" t="n"/>
    </row>
    <row r="381" ht="19.5" customHeight="1" s="49">
      <c r="A381" s="6" t="n"/>
      <c r="B381" s="24" t="n"/>
      <c r="C381" s="29" t="n"/>
      <c r="D381" s="7">
        <f>IF(C381="","",C381*$B$1)</f>
        <v/>
      </c>
      <c r="E381" s="8">
        <f>IF(C381="","",C381-D381)</f>
        <v/>
      </c>
      <c r="F381" s="18">
        <f>IF(OR(B381="",C381=""),"",E381-B381)</f>
        <v/>
      </c>
      <c r="G381" s="20">
        <f>IF(OR(B381="",B381=0),"",F381/B381)</f>
        <v/>
      </c>
      <c r="H381" s="9" t="n"/>
    </row>
    <row r="382" ht="19.5" customHeight="1" s="49">
      <c r="A382" s="10" t="n"/>
      <c r="B382" s="25" t="n"/>
      <c r="C382" s="30" t="n"/>
      <c r="D382" s="11">
        <f>IF(C382="","",C382*$B$1)</f>
        <v/>
      </c>
      <c r="E382" s="12">
        <f>IF(C382="","",C382-D382)</f>
        <v/>
      </c>
      <c r="F382" s="19">
        <f>IF(OR(B382="",C382=""),"",E382-B382)</f>
        <v/>
      </c>
      <c r="G382" s="21">
        <f>IF(OR(B382="",B382=0),"",F382/B382)</f>
        <v/>
      </c>
      <c r="H382" s="13" t="n"/>
    </row>
    <row r="383" ht="19.5" customHeight="1" s="49">
      <c r="A383" s="6" t="n"/>
      <c r="B383" s="24" t="n"/>
      <c r="C383" s="29" t="n"/>
      <c r="D383" s="7">
        <f>IF(C383="","",C383*$B$1)</f>
        <v/>
      </c>
      <c r="E383" s="8">
        <f>IF(C383="","",C383-D383)</f>
        <v/>
      </c>
      <c r="F383" s="18">
        <f>IF(OR(B383="",C383=""),"",E383-B383)</f>
        <v/>
      </c>
      <c r="G383" s="20">
        <f>IF(OR(B383="",B383=0),"",F383/B383)</f>
        <v/>
      </c>
      <c r="H383" s="9" t="n"/>
    </row>
    <row r="384" ht="19.5" customHeight="1" s="49">
      <c r="A384" s="10" t="n"/>
      <c r="B384" s="25" t="n"/>
      <c r="C384" s="30" t="n"/>
      <c r="D384" s="11">
        <f>IF(C384="","",C384*$B$1)</f>
        <v/>
      </c>
      <c r="E384" s="12">
        <f>IF(C384="","",C384-D384)</f>
        <v/>
      </c>
      <c r="F384" s="19">
        <f>IF(OR(B384="",C384=""),"",E384-B384)</f>
        <v/>
      </c>
      <c r="G384" s="21">
        <f>IF(OR(B384="",B384=0),"",F384/B384)</f>
        <v/>
      </c>
      <c r="H384" s="13" t="n"/>
    </row>
    <row r="385" ht="19.5" customHeight="1" s="49">
      <c r="A385" s="6" t="n"/>
      <c r="B385" s="24" t="n"/>
      <c r="C385" s="29" t="n"/>
      <c r="D385" s="7">
        <f>IF(C385="","",C385*$B$1)</f>
        <v/>
      </c>
      <c r="E385" s="8">
        <f>IF(C385="","",C385-D385)</f>
        <v/>
      </c>
      <c r="F385" s="18">
        <f>IF(OR(B385="",C385=""),"",E385-B385)</f>
        <v/>
      </c>
      <c r="G385" s="20">
        <f>IF(OR(B385="",B385=0),"",F385/B385)</f>
        <v/>
      </c>
      <c r="H385" s="9" t="n"/>
    </row>
    <row r="386" ht="19.5" customHeight="1" s="49">
      <c r="A386" s="10" t="n"/>
      <c r="B386" s="25" t="n"/>
      <c r="C386" s="30" t="n"/>
      <c r="D386" s="11">
        <f>IF(C386="","",C386*$B$1)</f>
        <v/>
      </c>
      <c r="E386" s="12">
        <f>IF(C386="","",C386-D386)</f>
        <v/>
      </c>
      <c r="F386" s="19">
        <f>IF(OR(B386="",C386=""),"",E386-B386)</f>
        <v/>
      </c>
      <c r="G386" s="21">
        <f>IF(OR(B386="",B386=0),"",F386/B386)</f>
        <v/>
      </c>
      <c r="H386" s="13" t="n"/>
    </row>
    <row r="387" ht="19.5" customHeight="1" s="49">
      <c r="A387" s="6" t="n"/>
      <c r="B387" s="24" t="n"/>
      <c r="C387" s="29" t="n"/>
      <c r="D387" s="7">
        <f>IF(C387="","",C387*$B$1)</f>
        <v/>
      </c>
      <c r="E387" s="8">
        <f>IF(C387="","",C387-D387)</f>
        <v/>
      </c>
      <c r="F387" s="18">
        <f>IF(OR(B387="",C387=""),"",E387-B387)</f>
        <v/>
      </c>
      <c r="G387" s="20">
        <f>IF(OR(B387="",B387=0),"",F387/B387)</f>
        <v/>
      </c>
      <c r="H387" s="9" t="n"/>
    </row>
    <row r="388" ht="19.5" customHeight="1" s="49">
      <c r="A388" s="10" t="n"/>
      <c r="B388" s="25" t="n"/>
      <c r="C388" s="30" t="n"/>
      <c r="D388" s="11">
        <f>IF(C388="","",C388*$B$1)</f>
        <v/>
      </c>
      <c r="E388" s="12">
        <f>IF(C388="","",C388-D388)</f>
        <v/>
      </c>
      <c r="F388" s="19">
        <f>IF(OR(B388="",C388=""),"",E388-B388)</f>
        <v/>
      </c>
      <c r="G388" s="21">
        <f>IF(OR(B388="",B388=0),"",F388/B388)</f>
        <v/>
      </c>
      <c r="H388" s="13" t="n"/>
    </row>
    <row r="389" ht="19.5" customHeight="1" s="49">
      <c r="A389" s="6" t="n"/>
      <c r="B389" s="24" t="n"/>
      <c r="C389" s="29" t="n"/>
      <c r="D389" s="7">
        <f>IF(C389="","",C389*$B$1)</f>
        <v/>
      </c>
      <c r="E389" s="8">
        <f>IF(C389="","",C389-D389)</f>
        <v/>
      </c>
      <c r="F389" s="18">
        <f>IF(OR(B389="",C389=""),"",E389-B389)</f>
        <v/>
      </c>
      <c r="G389" s="20">
        <f>IF(OR(B389="",B389=0),"",F389/B389)</f>
        <v/>
      </c>
      <c r="H389" s="9" t="n"/>
    </row>
    <row r="390" ht="19.5" customHeight="1" s="49">
      <c r="A390" s="10" t="n"/>
      <c r="B390" s="25" t="n"/>
      <c r="C390" s="30" t="n"/>
      <c r="D390" s="11">
        <f>IF(C390="","",C390*$B$1)</f>
        <v/>
      </c>
      <c r="E390" s="12">
        <f>IF(C390="","",C390-D390)</f>
        <v/>
      </c>
      <c r="F390" s="19">
        <f>IF(OR(B390="",C390=""),"",E390-B390)</f>
        <v/>
      </c>
      <c r="G390" s="21">
        <f>IF(OR(B390="",B390=0),"",F390/B390)</f>
        <v/>
      </c>
      <c r="H390" s="13" t="n"/>
    </row>
    <row r="391" ht="19.5" customHeight="1" s="49">
      <c r="A391" s="6" t="n"/>
      <c r="B391" s="24" t="n"/>
      <c r="C391" s="29" t="n"/>
      <c r="D391" s="7">
        <f>IF(C391="","",C391*$B$1)</f>
        <v/>
      </c>
      <c r="E391" s="8">
        <f>IF(C391="","",C391-D391)</f>
        <v/>
      </c>
      <c r="F391" s="18">
        <f>IF(OR(B391="",C391=""),"",E391-B391)</f>
        <v/>
      </c>
      <c r="G391" s="20">
        <f>IF(OR(B391="",B391=0),"",F391/B391)</f>
        <v/>
      </c>
      <c r="H391" s="9" t="n"/>
    </row>
    <row r="392" ht="19.5" customHeight="1" s="49">
      <c r="A392" s="10" t="n"/>
      <c r="B392" s="25" t="n"/>
      <c r="C392" s="30" t="n"/>
      <c r="D392" s="11">
        <f>IF(C392="","",C392*$B$1)</f>
        <v/>
      </c>
      <c r="E392" s="12">
        <f>IF(C392="","",C392-D392)</f>
        <v/>
      </c>
      <c r="F392" s="19">
        <f>IF(OR(B392="",C392=""),"",E392-B392)</f>
        <v/>
      </c>
      <c r="G392" s="21">
        <f>IF(OR(B392="",B392=0),"",F392/B392)</f>
        <v/>
      </c>
      <c r="H392" s="13" t="n"/>
    </row>
    <row r="393" ht="19.5" customHeight="1" s="49">
      <c r="A393" s="6" t="n"/>
      <c r="B393" s="24" t="n"/>
      <c r="C393" s="29" t="n"/>
      <c r="D393" s="7">
        <f>IF(C393="","",C393*$B$1)</f>
        <v/>
      </c>
      <c r="E393" s="8">
        <f>IF(C393="","",C393-D393)</f>
        <v/>
      </c>
      <c r="F393" s="18">
        <f>IF(OR(B393="",C393=""),"",E393-B393)</f>
        <v/>
      </c>
      <c r="G393" s="20">
        <f>IF(OR(B393="",B393=0),"",F393/B393)</f>
        <v/>
      </c>
      <c r="H393" s="9" t="n"/>
    </row>
    <row r="394" ht="19.5" customHeight="1" s="49">
      <c r="A394" s="10" t="n"/>
      <c r="B394" s="25" t="n"/>
      <c r="C394" s="30" t="n"/>
      <c r="D394" s="11">
        <f>IF(C394="","",C394*$B$1)</f>
        <v/>
      </c>
      <c r="E394" s="12">
        <f>IF(C394="","",C394-D394)</f>
        <v/>
      </c>
      <c r="F394" s="19">
        <f>IF(OR(B394="",C394=""),"",E394-B394)</f>
        <v/>
      </c>
      <c r="G394" s="21">
        <f>IF(OR(B394="",B394=0),"",F394/B394)</f>
        <v/>
      </c>
      <c r="H394" s="13" t="n"/>
    </row>
    <row r="395" ht="19.5" customHeight="1" s="49">
      <c r="A395" s="6" t="n"/>
      <c r="B395" s="24" t="n"/>
      <c r="C395" s="29" t="n"/>
      <c r="D395" s="7">
        <f>IF(C395="","",C395*$B$1)</f>
        <v/>
      </c>
      <c r="E395" s="8">
        <f>IF(C395="","",C395-D395)</f>
        <v/>
      </c>
      <c r="F395" s="18">
        <f>IF(OR(B395="",C395=""),"",E395-B395)</f>
        <v/>
      </c>
      <c r="G395" s="20">
        <f>IF(OR(B395="",B395=0),"",F395/B395)</f>
        <v/>
      </c>
      <c r="H395" s="9" t="n"/>
    </row>
    <row r="396" ht="19.5" customHeight="1" s="49">
      <c r="A396" s="10" t="n"/>
      <c r="B396" s="25" t="n"/>
      <c r="C396" s="30" t="n"/>
      <c r="D396" s="11">
        <f>IF(C396="","",C396*$B$1)</f>
        <v/>
      </c>
      <c r="E396" s="12">
        <f>IF(C396="","",C396-D396)</f>
        <v/>
      </c>
      <c r="F396" s="19">
        <f>IF(OR(B396="",C396=""),"",E396-B396)</f>
        <v/>
      </c>
      <c r="G396" s="21">
        <f>IF(OR(B396="",B396=0),"",F396/B396)</f>
        <v/>
      </c>
      <c r="H396" s="13" t="n"/>
    </row>
    <row r="397" ht="19.5" customHeight="1" s="49">
      <c r="A397" s="6" t="n"/>
      <c r="B397" s="24" t="n"/>
      <c r="C397" s="29" t="n"/>
      <c r="D397" s="7">
        <f>IF(C397="","",C397*$B$1)</f>
        <v/>
      </c>
      <c r="E397" s="8">
        <f>IF(C397="","",C397-D397)</f>
        <v/>
      </c>
      <c r="F397" s="18">
        <f>IF(OR(B397="",C397=""),"",E397-B397)</f>
        <v/>
      </c>
      <c r="G397" s="20">
        <f>IF(OR(B397="",B397=0),"",F397/B397)</f>
        <v/>
      </c>
      <c r="H397" s="9" t="n"/>
    </row>
    <row r="398" ht="19.5" customHeight="1" s="49">
      <c r="A398" s="10" t="n"/>
      <c r="B398" s="25" t="n"/>
      <c r="C398" s="30" t="n"/>
      <c r="D398" s="11">
        <f>IF(C398="","",C398*$B$1)</f>
        <v/>
      </c>
      <c r="E398" s="12">
        <f>IF(C398="","",C398-D398)</f>
        <v/>
      </c>
      <c r="F398" s="19">
        <f>IF(OR(B398="",C398=""),"",E398-B398)</f>
        <v/>
      </c>
      <c r="G398" s="21">
        <f>IF(OR(B398="",B398=0),"",F398/B398)</f>
        <v/>
      </c>
      <c r="H398" s="13" t="n"/>
    </row>
    <row r="399" ht="19.5" customHeight="1" s="49">
      <c r="A399" s="6" t="n"/>
      <c r="B399" s="24" t="n"/>
      <c r="C399" s="29" t="n"/>
      <c r="D399" s="7">
        <f>IF(C399="","",C399*$B$1)</f>
        <v/>
      </c>
      <c r="E399" s="8">
        <f>IF(C399="","",C399-D399)</f>
        <v/>
      </c>
      <c r="F399" s="18">
        <f>IF(OR(B399="",C399=""),"",E399-B399)</f>
        <v/>
      </c>
      <c r="G399" s="20">
        <f>IF(OR(B399="",B399=0),"",F399/B399)</f>
        <v/>
      </c>
      <c r="H399" s="9" t="n"/>
    </row>
    <row r="400" ht="19.5" customHeight="1" s="49">
      <c r="A400" s="10" t="n"/>
      <c r="B400" s="25" t="n"/>
      <c r="C400" s="30" t="n"/>
      <c r="D400" s="11">
        <f>IF(C400="","",C400*$B$1)</f>
        <v/>
      </c>
      <c r="E400" s="12">
        <f>IF(C400="","",C400-D400)</f>
        <v/>
      </c>
      <c r="F400" s="19">
        <f>IF(OR(B400="",C400=""),"",E400-B400)</f>
        <v/>
      </c>
      <c r="G400" s="21">
        <f>IF(OR(B400="",B400=0),"",F400/B400)</f>
        <v/>
      </c>
      <c r="H400" s="13" t="n"/>
    </row>
    <row r="401" ht="19.5" customHeight="1" s="49">
      <c r="A401" s="6" t="n"/>
      <c r="B401" s="24" t="n"/>
      <c r="C401" s="29" t="n"/>
      <c r="D401" s="7">
        <f>IF(C401="","",C401*$B$1)</f>
        <v/>
      </c>
      <c r="E401" s="8">
        <f>IF(C401="","",C401-D401)</f>
        <v/>
      </c>
      <c r="F401" s="18">
        <f>IF(OR(B401="",C401=""),"",E401-B401)</f>
        <v/>
      </c>
      <c r="G401" s="20">
        <f>IF(OR(B401="",B401=0),"",F401/B401)</f>
        <v/>
      </c>
      <c r="H401" s="9" t="n"/>
    </row>
    <row r="402" ht="19.5" customHeight="1" s="49">
      <c r="A402" s="10" t="n"/>
      <c r="B402" s="25" t="n"/>
      <c r="C402" s="30" t="n"/>
      <c r="D402" s="11">
        <f>IF(C402="","",C402*$B$1)</f>
        <v/>
      </c>
      <c r="E402" s="12">
        <f>IF(C402="","",C402-D402)</f>
        <v/>
      </c>
      <c r="F402" s="19">
        <f>IF(OR(B402="",C402=""),"",E402-B402)</f>
        <v/>
      </c>
      <c r="G402" s="21">
        <f>IF(OR(B402="",B402=0),"",F402/B402)</f>
        <v/>
      </c>
      <c r="H402" s="13" t="n"/>
    </row>
    <row r="403" ht="19.5" customHeight="1" s="49">
      <c r="A403" s="6" t="n"/>
      <c r="B403" s="24" t="n"/>
      <c r="C403" s="29" t="n"/>
      <c r="D403" s="7">
        <f>IF(C403="","",C403*$B$1)</f>
        <v/>
      </c>
      <c r="E403" s="8">
        <f>IF(C403="","",C403-D403)</f>
        <v/>
      </c>
      <c r="F403" s="18">
        <f>IF(OR(B403="",C403=""),"",E403-B403)</f>
        <v/>
      </c>
      <c r="G403" s="20">
        <f>IF(OR(B403="",B403=0),"",F403/B403)</f>
        <v/>
      </c>
      <c r="H403" s="9" t="n"/>
    </row>
    <row r="404" ht="19.5" customHeight="1" s="49">
      <c r="A404" s="10" t="n"/>
      <c r="B404" s="25" t="n"/>
      <c r="C404" s="30" t="n"/>
      <c r="D404" s="11">
        <f>IF(C404="","",C404*$B$1)</f>
        <v/>
      </c>
      <c r="E404" s="12">
        <f>IF(C404="","",C404-D404)</f>
        <v/>
      </c>
      <c r="F404" s="19">
        <f>IF(OR(B404="",C404=""),"",E404-B404)</f>
        <v/>
      </c>
      <c r="G404" s="21">
        <f>IF(OR(B404="",B404=0),"",F404/B404)</f>
        <v/>
      </c>
      <c r="H404" s="13" t="n"/>
    </row>
    <row r="405" ht="19.5" customHeight="1" s="49">
      <c r="A405" s="6" t="n"/>
      <c r="B405" s="24" t="n"/>
      <c r="C405" s="29" t="n"/>
      <c r="D405" s="7">
        <f>IF(C405="","",C405*$B$1)</f>
        <v/>
      </c>
      <c r="E405" s="8">
        <f>IF(C405="","",C405-D405)</f>
        <v/>
      </c>
      <c r="F405" s="18">
        <f>IF(OR(B405="",C405=""),"",E405-B405)</f>
        <v/>
      </c>
      <c r="G405" s="20">
        <f>IF(OR(B405="",B405=0),"",F405/B405)</f>
        <v/>
      </c>
      <c r="H405" s="9" t="n"/>
    </row>
    <row r="406" ht="19.5" customHeight="1" s="49">
      <c r="A406" s="10" t="n"/>
      <c r="B406" s="25" t="n"/>
      <c r="C406" s="30" t="n"/>
      <c r="D406" s="11">
        <f>IF(C406="","",C406*$B$1)</f>
        <v/>
      </c>
      <c r="E406" s="12">
        <f>IF(C406="","",C406-D406)</f>
        <v/>
      </c>
      <c r="F406" s="19">
        <f>IF(OR(B406="",C406=""),"",E406-B406)</f>
        <v/>
      </c>
      <c r="G406" s="21">
        <f>IF(OR(B406="",B406=0),"",F406/B406)</f>
        <v/>
      </c>
      <c r="H406" s="13" t="n"/>
    </row>
    <row r="407" ht="19.5" customHeight="1" s="49">
      <c r="A407" s="6" t="n"/>
      <c r="B407" s="24" t="n"/>
      <c r="C407" s="29" t="n"/>
      <c r="D407" s="7">
        <f>IF(C407="","",C407*$B$1)</f>
        <v/>
      </c>
      <c r="E407" s="8">
        <f>IF(C407="","",C407-D407)</f>
        <v/>
      </c>
      <c r="F407" s="18">
        <f>IF(OR(B407="",C407=""),"",E407-B407)</f>
        <v/>
      </c>
      <c r="G407" s="20">
        <f>IF(OR(B407="",B407=0),"",F407/B407)</f>
        <v/>
      </c>
      <c r="H407" s="9" t="n"/>
    </row>
    <row r="408" ht="19.5" customHeight="1" s="49">
      <c r="A408" s="10" t="n"/>
      <c r="B408" s="25" t="n"/>
      <c r="C408" s="30" t="n"/>
      <c r="D408" s="11">
        <f>IF(C408="","",C408*$B$1)</f>
        <v/>
      </c>
      <c r="E408" s="12">
        <f>IF(C408="","",C408-D408)</f>
        <v/>
      </c>
      <c r="F408" s="19">
        <f>IF(OR(B408="",C408=""),"",E408-B408)</f>
        <v/>
      </c>
      <c r="G408" s="21">
        <f>IF(OR(B408="",B408=0),"",F408/B408)</f>
        <v/>
      </c>
      <c r="H408" s="13" t="n"/>
    </row>
    <row r="409" ht="19.5" customHeight="1" s="49">
      <c r="A409" s="6" t="n"/>
      <c r="B409" s="24" t="n"/>
      <c r="C409" s="29" t="n"/>
      <c r="D409" s="7">
        <f>IF(C409="","",C409*$B$1)</f>
        <v/>
      </c>
      <c r="E409" s="8">
        <f>IF(C409="","",C409-D409)</f>
        <v/>
      </c>
      <c r="F409" s="18">
        <f>IF(OR(B409="",C409=""),"",E409-B409)</f>
        <v/>
      </c>
      <c r="G409" s="20">
        <f>IF(OR(B409="",B409=0),"",F409/B409)</f>
        <v/>
      </c>
      <c r="H409" s="9" t="n"/>
    </row>
    <row r="410" ht="19.5" customHeight="1" s="49">
      <c r="A410" s="10" t="n"/>
      <c r="B410" s="25" t="n"/>
      <c r="C410" s="30" t="n"/>
      <c r="D410" s="11">
        <f>IF(C410="","",C410*$B$1)</f>
        <v/>
      </c>
      <c r="E410" s="12">
        <f>IF(C410="","",C410-D410)</f>
        <v/>
      </c>
      <c r="F410" s="19">
        <f>IF(OR(B410="",C410=""),"",E410-B410)</f>
        <v/>
      </c>
      <c r="G410" s="21">
        <f>IF(OR(B410="",B410=0),"",F410/B410)</f>
        <v/>
      </c>
      <c r="H410" s="13" t="n"/>
    </row>
    <row r="411" ht="19.5" customHeight="1" s="49">
      <c r="A411" s="6" t="n"/>
      <c r="B411" s="24" t="n"/>
      <c r="C411" s="29" t="n"/>
      <c r="D411" s="7">
        <f>IF(C411="","",C411*$B$1)</f>
        <v/>
      </c>
      <c r="E411" s="8">
        <f>IF(C411="","",C411-D411)</f>
        <v/>
      </c>
      <c r="F411" s="18">
        <f>IF(OR(B411="",C411=""),"",E411-B411)</f>
        <v/>
      </c>
      <c r="G411" s="20">
        <f>IF(OR(B411="",B411=0),"",F411/B411)</f>
        <v/>
      </c>
      <c r="H411" s="9" t="n"/>
    </row>
    <row r="412" ht="19.5" customHeight="1" s="49">
      <c r="A412" s="10" t="n"/>
      <c r="B412" s="25" t="n"/>
      <c r="C412" s="30" t="n"/>
      <c r="D412" s="11">
        <f>IF(C412="","",C412*$B$1)</f>
        <v/>
      </c>
      <c r="E412" s="12">
        <f>IF(C412="","",C412-D412)</f>
        <v/>
      </c>
      <c r="F412" s="19">
        <f>IF(OR(B412="",C412=""),"",E412-B412)</f>
        <v/>
      </c>
      <c r="G412" s="21">
        <f>IF(OR(B412="",B412=0),"",F412/B412)</f>
        <v/>
      </c>
      <c r="H412" s="13" t="n"/>
    </row>
    <row r="413" ht="19.5" customHeight="1" s="49">
      <c r="A413" s="6" t="n"/>
      <c r="B413" s="24" t="n"/>
      <c r="C413" s="29" t="n"/>
      <c r="D413" s="7">
        <f>IF(C413="","",C413*$B$1)</f>
        <v/>
      </c>
      <c r="E413" s="8">
        <f>IF(C413="","",C413-D413)</f>
        <v/>
      </c>
      <c r="F413" s="18">
        <f>IF(OR(B413="",C413=""),"",E413-B413)</f>
        <v/>
      </c>
      <c r="G413" s="20">
        <f>IF(OR(B413="",B413=0),"",F413/B413)</f>
        <v/>
      </c>
      <c r="H413" s="9" t="n"/>
    </row>
    <row r="414" ht="19.5" customHeight="1" s="49">
      <c r="A414" s="10" t="n"/>
      <c r="B414" s="25" t="n"/>
      <c r="C414" s="30" t="n"/>
      <c r="D414" s="11">
        <f>IF(C414="","",C414*$B$1)</f>
        <v/>
      </c>
      <c r="E414" s="12">
        <f>IF(C414="","",C414-D414)</f>
        <v/>
      </c>
      <c r="F414" s="19">
        <f>IF(OR(B414="",C414=""),"",E414-B414)</f>
        <v/>
      </c>
      <c r="G414" s="21">
        <f>IF(OR(B414="",B414=0),"",F414/B414)</f>
        <v/>
      </c>
      <c r="H414" s="13" t="n"/>
    </row>
    <row r="415" ht="19.5" customHeight="1" s="49">
      <c r="A415" s="6" t="n"/>
      <c r="B415" s="24" t="n"/>
      <c r="C415" s="29" t="n"/>
      <c r="D415" s="7">
        <f>IF(C415="","",C415*$B$1)</f>
        <v/>
      </c>
      <c r="E415" s="8">
        <f>IF(C415="","",C415-D415)</f>
        <v/>
      </c>
      <c r="F415" s="18">
        <f>IF(OR(B415="",C415=""),"",E415-B415)</f>
        <v/>
      </c>
      <c r="G415" s="20">
        <f>IF(OR(B415="",B415=0),"",F415/B415)</f>
        <v/>
      </c>
      <c r="H415" s="9" t="n"/>
    </row>
    <row r="416" ht="19.5" customHeight="1" s="49">
      <c r="A416" s="10" t="n"/>
      <c r="B416" s="25" t="n"/>
      <c r="C416" s="30" t="n"/>
      <c r="D416" s="11">
        <f>IF(C416="","",C416*$B$1)</f>
        <v/>
      </c>
      <c r="E416" s="12">
        <f>IF(C416="","",C416-D416)</f>
        <v/>
      </c>
      <c r="F416" s="19">
        <f>IF(OR(B416="",C416=""),"",E416-B416)</f>
        <v/>
      </c>
      <c r="G416" s="21">
        <f>IF(OR(B416="",B416=0),"",F416/B416)</f>
        <v/>
      </c>
      <c r="H416" s="13" t="n"/>
    </row>
    <row r="417" ht="19.5" customHeight="1" s="49">
      <c r="A417" s="6" t="n"/>
      <c r="B417" s="24" t="n"/>
      <c r="C417" s="29" t="n"/>
      <c r="D417" s="7">
        <f>IF(C417="","",C417*$B$1)</f>
        <v/>
      </c>
      <c r="E417" s="8">
        <f>IF(C417="","",C417-D417)</f>
        <v/>
      </c>
      <c r="F417" s="18">
        <f>IF(OR(B417="",C417=""),"",E417-B417)</f>
        <v/>
      </c>
      <c r="G417" s="20">
        <f>IF(OR(B417="",B417=0),"",F417/B417)</f>
        <v/>
      </c>
      <c r="H417" s="9" t="n"/>
    </row>
    <row r="418" ht="19.5" customHeight="1" s="49">
      <c r="A418" s="10" t="n"/>
      <c r="B418" s="25" t="n"/>
      <c r="C418" s="30" t="n"/>
      <c r="D418" s="11">
        <f>IF(C418="","",C418*$B$1)</f>
        <v/>
      </c>
      <c r="E418" s="12">
        <f>IF(C418="","",C418-D418)</f>
        <v/>
      </c>
      <c r="F418" s="19">
        <f>IF(OR(B418="",C418=""),"",E418-B418)</f>
        <v/>
      </c>
      <c r="G418" s="21">
        <f>IF(OR(B418="",B418=0),"",F418/B418)</f>
        <v/>
      </c>
      <c r="H418" s="13" t="n"/>
    </row>
    <row r="419" ht="19.5" customHeight="1" s="49">
      <c r="A419" s="6" t="n"/>
      <c r="B419" s="24" t="n"/>
      <c r="C419" s="29" t="n"/>
      <c r="D419" s="7">
        <f>IF(C419="","",C419*$B$1)</f>
        <v/>
      </c>
      <c r="E419" s="8">
        <f>IF(C419="","",C419-D419)</f>
        <v/>
      </c>
      <c r="F419" s="18">
        <f>IF(OR(B419="",C419=""),"",E419-B419)</f>
        <v/>
      </c>
      <c r="G419" s="20">
        <f>IF(OR(B419="",B419=0),"",F419/B419)</f>
        <v/>
      </c>
      <c r="H419" s="9" t="n"/>
    </row>
    <row r="420" ht="19.5" customHeight="1" s="49">
      <c r="A420" s="10" t="n"/>
      <c r="B420" s="25" t="n"/>
      <c r="C420" s="30" t="n"/>
      <c r="D420" s="11">
        <f>IF(C420="","",C420*$B$1)</f>
        <v/>
      </c>
      <c r="E420" s="12">
        <f>IF(C420="","",C420-D420)</f>
        <v/>
      </c>
      <c r="F420" s="19">
        <f>IF(OR(B420="",C420=""),"",E420-B420)</f>
        <v/>
      </c>
      <c r="G420" s="21">
        <f>IF(OR(B420="",B420=0),"",F420/B420)</f>
        <v/>
      </c>
      <c r="H420" s="13" t="n"/>
    </row>
    <row r="421" ht="19.5" customHeight="1" s="49">
      <c r="A421" s="6" t="n"/>
      <c r="B421" s="24" t="n"/>
      <c r="C421" s="29" t="n"/>
      <c r="D421" s="7">
        <f>IF(C421="","",C421*$B$1)</f>
        <v/>
      </c>
      <c r="E421" s="8">
        <f>IF(C421="","",C421-D421)</f>
        <v/>
      </c>
      <c r="F421" s="18">
        <f>IF(OR(B421="",C421=""),"",E421-B421)</f>
        <v/>
      </c>
      <c r="G421" s="20">
        <f>IF(OR(B421="",B421=0),"",F421/B421)</f>
        <v/>
      </c>
      <c r="H421" s="9" t="n"/>
    </row>
    <row r="422" ht="19.5" customHeight="1" s="49">
      <c r="A422" s="10" t="n"/>
      <c r="B422" s="25" t="n"/>
      <c r="C422" s="30" t="n"/>
      <c r="D422" s="11">
        <f>IF(C422="","",C422*$B$1)</f>
        <v/>
      </c>
      <c r="E422" s="12">
        <f>IF(C422="","",C422-D422)</f>
        <v/>
      </c>
      <c r="F422" s="19">
        <f>IF(OR(B422="",C422=""),"",E422-B422)</f>
        <v/>
      </c>
      <c r="G422" s="21">
        <f>IF(OR(B422="",B422=0),"",F422/B422)</f>
        <v/>
      </c>
      <c r="H422" s="13" t="n"/>
    </row>
    <row r="423" ht="19.5" customHeight="1" s="49">
      <c r="A423" s="6" t="n"/>
      <c r="B423" s="24" t="n"/>
      <c r="C423" s="29" t="n"/>
      <c r="D423" s="7">
        <f>IF(C423="","",C423*$B$1)</f>
        <v/>
      </c>
      <c r="E423" s="8">
        <f>IF(C423="","",C423-D423)</f>
        <v/>
      </c>
      <c r="F423" s="18">
        <f>IF(OR(B423="",C423=""),"",E423-B423)</f>
        <v/>
      </c>
      <c r="G423" s="20">
        <f>IF(OR(B423="",B423=0),"",F423/B423)</f>
        <v/>
      </c>
      <c r="H423" s="9" t="n"/>
    </row>
    <row r="424" ht="19.5" customHeight="1" s="49">
      <c r="A424" s="10" t="n"/>
      <c r="B424" s="25" t="n"/>
      <c r="C424" s="30" t="n"/>
      <c r="D424" s="11">
        <f>IF(C424="","",C424*$B$1)</f>
        <v/>
      </c>
      <c r="E424" s="12">
        <f>IF(C424="","",C424-D424)</f>
        <v/>
      </c>
      <c r="F424" s="19">
        <f>IF(OR(B424="",C424=""),"",E424-B424)</f>
        <v/>
      </c>
      <c r="G424" s="21">
        <f>IF(OR(B424="",B424=0),"",F424/B424)</f>
        <v/>
      </c>
      <c r="H424" s="13" t="n"/>
    </row>
    <row r="425" ht="19.5" customHeight="1" s="49">
      <c r="A425" s="6" t="n"/>
      <c r="B425" s="24" t="n"/>
      <c r="C425" s="29" t="n"/>
      <c r="D425" s="7">
        <f>IF(C425="","",C425*$B$1)</f>
        <v/>
      </c>
      <c r="E425" s="8">
        <f>IF(C425="","",C425-D425)</f>
        <v/>
      </c>
      <c r="F425" s="18">
        <f>IF(OR(B425="",C425=""),"",E425-B425)</f>
        <v/>
      </c>
      <c r="G425" s="20">
        <f>IF(OR(B425="",B425=0),"",F425/B425)</f>
        <v/>
      </c>
      <c r="H425" s="9" t="n"/>
    </row>
    <row r="426" ht="19.5" customHeight="1" s="49">
      <c r="A426" s="10" t="n"/>
      <c r="B426" s="25" t="n"/>
      <c r="C426" s="30" t="n"/>
      <c r="D426" s="11">
        <f>IF(C426="","",C426*$B$1)</f>
        <v/>
      </c>
      <c r="E426" s="12">
        <f>IF(C426="","",C426-D426)</f>
        <v/>
      </c>
      <c r="F426" s="19">
        <f>IF(OR(B426="",C426=""),"",E426-B426)</f>
        <v/>
      </c>
      <c r="G426" s="21">
        <f>IF(OR(B426="",B426=0),"",F426/B426)</f>
        <v/>
      </c>
      <c r="H426" s="13" t="n"/>
    </row>
    <row r="427" ht="19.5" customHeight="1" s="49">
      <c r="A427" s="6" t="n"/>
      <c r="B427" s="24" t="n"/>
      <c r="C427" s="29" t="n"/>
      <c r="D427" s="7">
        <f>IF(C427="","",C427*$B$1)</f>
        <v/>
      </c>
      <c r="E427" s="8">
        <f>IF(C427="","",C427-D427)</f>
        <v/>
      </c>
      <c r="F427" s="18">
        <f>IF(OR(B427="",C427=""),"",E427-B427)</f>
        <v/>
      </c>
      <c r="G427" s="20">
        <f>IF(OR(B427="",B427=0),"",F427/B427)</f>
        <v/>
      </c>
      <c r="H427" s="9" t="n"/>
    </row>
    <row r="428" ht="19.5" customHeight="1" s="49">
      <c r="A428" s="10" t="n"/>
      <c r="B428" s="25" t="n"/>
      <c r="C428" s="30" t="n"/>
      <c r="D428" s="11">
        <f>IF(C428="","",C428*$B$1)</f>
        <v/>
      </c>
      <c r="E428" s="12">
        <f>IF(C428="","",C428-D428)</f>
        <v/>
      </c>
      <c r="F428" s="19">
        <f>IF(OR(B428="",C428=""),"",E428-B428)</f>
        <v/>
      </c>
      <c r="G428" s="21">
        <f>IF(OR(B428="",B428=0),"",F428/B428)</f>
        <v/>
      </c>
      <c r="H428" s="13" t="n"/>
    </row>
    <row r="429" ht="19.5" customHeight="1" s="49">
      <c r="A429" s="6" t="n"/>
      <c r="B429" s="24" t="n"/>
      <c r="C429" s="29" t="n"/>
      <c r="D429" s="7">
        <f>IF(C429="","",C429*$B$1)</f>
        <v/>
      </c>
      <c r="E429" s="8">
        <f>IF(C429="","",C429-D429)</f>
        <v/>
      </c>
      <c r="F429" s="18">
        <f>IF(OR(B429="",C429=""),"",E429-B429)</f>
        <v/>
      </c>
      <c r="G429" s="20">
        <f>IF(OR(B429="",B429=0),"",F429/B429)</f>
        <v/>
      </c>
      <c r="H429" s="9" t="n"/>
    </row>
    <row r="430" ht="19.5" customHeight="1" s="49">
      <c r="A430" s="10" t="n"/>
      <c r="B430" s="25" t="n"/>
      <c r="C430" s="30" t="n"/>
      <c r="D430" s="11">
        <f>IF(C430="","",C430*$B$1)</f>
        <v/>
      </c>
      <c r="E430" s="12">
        <f>IF(C430="","",C430-D430)</f>
        <v/>
      </c>
      <c r="F430" s="19">
        <f>IF(OR(B430="",C430=""),"",E430-B430)</f>
        <v/>
      </c>
      <c r="G430" s="21">
        <f>IF(OR(B430="",B430=0),"",F430/B430)</f>
        <v/>
      </c>
      <c r="H430" s="13" t="n"/>
    </row>
    <row r="431" ht="19.5" customHeight="1" s="49">
      <c r="A431" s="6" t="n"/>
      <c r="B431" s="24" t="n"/>
      <c r="C431" s="29" t="n"/>
      <c r="D431" s="7">
        <f>IF(C431="","",C431*$B$1)</f>
        <v/>
      </c>
      <c r="E431" s="8">
        <f>IF(C431="","",C431-D431)</f>
        <v/>
      </c>
      <c r="F431" s="18">
        <f>IF(OR(B431="",C431=""),"",E431-B431)</f>
        <v/>
      </c>
      <c r="G431" s="20">
        <f>IF(OR(B431="",B431=0),"",F431/B431)</f>
        <v/>
      </c>
      <c r="H431" s="9" t="n"/>
    </row>
    <row r="432" ht="19.5" customHeight="1" s="49">
      <c r="A432" s="10" t="n"/>
      <c r="B432" s="25" t="n"/>
      <c r="C432" s="30" t="n"/>
      <c r="D432" s="11">
        <f>IF(C432="","",C432*$B$1)</f>
        <v/>
      </c>
      <c r="E432" s="12">
        <f>IF(C432="","",C432-D432)</f>
        <v/>
      </c>
      <c r="F432" s="19">
        <f>IF(OR(B432="",C432=""),"",E432-B432)</f>
        <v/>
      </c>
      <c r="G432" s="21">
        <f>IF(OR(B432="",B432=0),"",F432/B432)</f>
        <v/>
      </c>
      <c r="H432" s="13" t="n"/>
    </row>
    <row r="433" ht="19.5" customHeight="1" s="49">
      <c r="A433" s="6" t="n"/>
      <c r="B433" s="24" t="n"/>
      <c r="C433" s="29" t="n"/>
      <c r="D433" s="7">
        <f>IF(C433="","",C433*$B$1)</f>
        <v/>
      </c>
      <c r="E433" s="8">
        <f>IF(C433="","",C433-D433)</f>
        <v/>
      </c>
      <c r="F433" s="18">
        <f>IF(OR(B433="",C433=""),"",E433-B433)</f>
        <v/>
      </c>
      <c r="G433" s="20">
        <f>IF(OR(B433="",B433=0),"",F433/B433)</f>
        <v/>
      </c>
      <c r="H433" s="9" t="n"/>
    </row>
    <row r="434" ht="19.5" customHeight="1" s="49">
      <c r="A434" s="10" t="n"/>
      <c r="B434" s="25" t="n"/>
      <c r="C434" s="30" t="n"/>
      <c r="D434" s="11">
        <f>IF(C434="","",C434*$B$1)</f>
        <v/>
      </c>
      <c r="E434" s="12">
        <f>IF(C434="","",C434-D434)</f>
        <v/>
      </c>
      <c r="F434" s="19">
        <f>IF(OR(B434="",C434=""),"",E434-B434)</f>
        <v/>
      </c>
      <c r="G434" s="21">
        <f>IF(OR(B434="",B434=0),"",F434/B434)</f>
        <v/>
      </c>
      <c r="H434" s="13" t="n"/>
    </row>
    <row r="435" ht="19.5" customHeight="1" s="49">
      <c r="A435" s="6" t="n"/>
      <c r="B435" s="24" t="n"/>
      <c r="C435" s="29" t="n"/>
      <c r="D435" s="7">
        <f>IF(C435="","",C435*$B$1)</f>
        <v/>
      </c>
      <c r="E435" s="8">
        <f>IF(C435="","",C435-D435)</f>
        <v/>
      </c>
      <c r="F435" s="18">
        <f>IF(OR(B435="",C435=""),"",E435-B435)</f>
        <v/>
      </c>
      <c r="G435" s="20">
        <f>IF(OR(B435="",B435=0),"",F435/B435)</f>
        <v/>
      </c>
      <c r="H435" s="9" t="n"/>
    </row>
    <row r="436" ht="19.5" customHeight="1" s="49">
      <c r="A436" s="10" t="n"/>
      <c r="B436" s="25" t="n"/>
      <c r="C436" s="30" t="n"/>
      <c r="D436" s="11">
        <f>IF(C436="","",C436*$B$1)</f>
        <v/>
      </c>
      <c r="E436" s="12">
        <f>IF(C436="","",C436-D436)</f>
        <v/>
      </c>
      <c r="F436" s="19">
        <f>IF(OR(B436="",C436=""),"",E436-B436)</f>
        <v/>
      </c>
      <c r="G436" s="21">
        <f>IF(OR(B436="",B436=0),"",F436/B436)</f>
        <v/>
      </c>
      <c r="H436" s="13" t="n"/>
    </row>
    <row r="437" ht="19.5" customHeight="1" s="49">
      <c r="A437" s="6" t="n"/>
      <c r="B437" s="24" t="n"/>
      <c r="C437" s="29" t="n"/>
      <c r="D437" s="7">
        <f>IF(C437="","",C437*$B$1)</f>
        <v/>
      </c>
      <c r="E437" s="8">
        <f>IF(C437="","",C437-D437)</f>
        <v/>
      </c>
      <c r="F437" s="18">
        <f>IF(OR(B437="",C437=""),"",E437-B437)</f>
        <v/>
      </c>
      <c r="G437" s="20">
        <f>IF(OR(B437="",B437=0),"",F437/B437)</f>
        <v/>
      </c>
      <c r="H437" s="9" t="n"/>
    </row>
    <row r="438" ht="19.5" customHeight="1" s="49">
      <c r="A438" s="10" t="n"/>
      <c r="B438" s="25" t="n"/>
      <c r="C438" s="30" t="n"/>
      <c r="D438" s="11">
        <f>IF(C438="","",C438*$B$1)</f>
        <v/>
      </c>
      <c r="E438" s="12">
        <f>IF(C438="","",C438-D438)</f>
        <v/>
      </c>
      <c r="F438" s="19">
        <f>IF(OR(B438="",C438=""),"",E438-B438)</f>
        <v/>
      </c>
      <c r="G438" s="21">
        <f>IF(OR(B438="",B438=0),"",F438/B438)</f>
        <v/>
      </c>
      <c r="H438" s="13" t="n"/>
    </row>
    <row r="439" ht="19.5" customHeight="1" s="49">
      <c r="A439" s="6" t="n"/>
      <c r="B439" s="24" t="n"/>
      <c r="C439" s="29" t="n"/>
      <c r="D439" s="7">
        <f>IF(C439="","",C439*$B$1)</f>
        <v/>
      </c>
      <c r="E439" s="8">
        <f>IF(C439="","",C439-D439)</f>
        <v/>
      </c>
      <c r="F439" s="18">
        <f>IF(OR(B439="",C439=""),"",E439-B439)</f>
        <v/>
      </c>
      <c r="G439" s="20">
        <f>IF(OR(B439="",B439=0),"",F439/B439)</f>
        <v/>
      </c>
      <c r="H439" s="9" t="n"/>
    </row>
    <row r="440" ht="19.5" customHeight="1" s="49">
      <c r="A440" s="10" t="n"/>
      <c r="B440" s="25" t="n"/>
      <c r="C440" s="30" t="n"/>
      <c r="D440" s="11">
        <f>IF(C440="","",C440*$B$1)</f>
        <v/>
      </c>
      <c r="E440" s="12">
        <f>IF(C440="","",C440-D440)</f>
        <v/>
      </c>
      <c r="F440" s="19">
        <f>IF(OR(B440="",C440=""),"",E440-B440)</f>
        <v/>
      </c>
      <c r="G440" s="21">
        <f>IF(OR(B440="",B440=0),"",F440/B440)</f>
        <v/>
      </c>
      <c r="H440" s="13" t="n"/>
    </row>
    <row r="441" ht="19.5" customHeight="1" s="49">
      <c r="A441" s="6" t="n"/>
      <c r="B441" s="24" t="n"/>
      <c r="C441" s="29" t="n"/>
      <c r="D441" s="7">
        <f>IF(C441="","",C441*$B$1)</f>
        <v/>
      </c>
      <c r="E441" s="8">
        <f>IF(C441="","",C441-D441)</f>
        <v/>
      </c>
      <c r="F441" s="18">
        <f>IF(OR(B441="",C441=""),"",E441-B441)</f>
        <v/>
      </c>
      <c r="G441" s="20">
        <f>IF(OR(B441="",B441=0),"",F441/B441)</f>
        <v/>
      </c>
      <c r="H441" s="9" t="n"/>
    </row>
    <row r="442" ht="19.5" customHeight="1" s="49">
      <c r="A442" s="10" t="n"/>
      <c r="B442" s="25" t="n"/>
      <c r="C442" s="30" t="n"/>
      <c r="D442" s="11">
        <f>IF(C442="","",C442*$B$1)</f>
        <v/>
      </c>
      <c r="E442" s="12">
        <f>IF(C442="","",C442-D442)</f>
        <v/>
      </c>
      <c r="F442" s="19">
        <f>IF(OR(B442="",C442=""),"",E442-B442)</f>
        <v/>
      </c>
      <c r="G442" s="21">
        <f>IF(OR(B442="",B442=0),"",F442/B442)</f>
        <v/>
      </c>
      <c r="H442" s="13" t="n"/>
    </row>
    <row r="443" ht="19.5" customHeight="1" s="49">
      <c r="A443" s="6" t="n"/>
      <c r="B443" s="24" t="n"/>
      <c r="C443" s="29" t="n"/>
      <c r="D443" s="7">
        <f>IF(C443="","",C443*$B$1)</f>
        <v/>
      </c>
      <c r="E443" s="8">
        <f>IF(C443="","",C443-D443)</f>
        <v/>
      </c>
      <c r="F443" s="18">
        <f>IF(OR(B443="",C443=""),"",E443-B443)</f>
        <v/>
      </c>
      <c r="G443" s="20">
        <f>IF(OR(B443="",B443=0),"",F443/B443)</f>
        <v/>
      </c>
      <c r="H443" s="9" t="n"/>
    </row>
    <row r="444" ht="19.5" customHeight="1" s="49">
      <c r="A444" s="10" t="n"/>
      <c r="B444" s="25" t="n"/>
      <c r="C444" s="30" t="n"/>
      <c r="D444" s="11">
        <f>IF(C444="","",C444*$B$1)</f>
        <v/>
      </c>
      <c r="E444" s="12">
        <f>IF(C444="","",C444-D444)</f>
        <v/>
      </c>
      <c r="F444" s="19">
        <f>IF(OR(B444="",C444=""),"",E444-B444)</f>
        <v/>
      </c>
      <c r="G444" s="21">
        <f>IF(OR(B444="",B444=0),"",F444/B444)</f>
        <v/>
      </c>
      <c r="H444" s="13" t="n"/>
    </row>
    <row r="445" ht="19.5" customHeight="1" s="49">
      <c r="A445" s="6" t="n"/>
      <c r="B445" s="24" t="n"/>
      <c r="C445" s="29" t="n"/>
      <c r="D445" s="7">
        <f>IF(C445="","",C445*$B$1)</f>
        <v/>
      </c>
      <c r="E445" s="8">
        <f>IF(C445="","",C445-D445)</f>
        <v/>
      </c>
      <c r="F445" s="18">
        <f>IF(OR(B445="",C445=""),"",E445-B445)</f>
        <v/>
      </c>
      <c r="G445" s="20">
        <f>IF(OR(B445="",B445=0),"",F445/B445)</f>
        <v/>
      </c>
      <c r="H445" s="9" t="n"/>
    </row>
    <row r="446" ht="19.5" customHeight="1" s="49">
      <c r="A446" s="10" t="n"/>
      <c r="B446" s="25" t="n"/>
      <c r="C446" s="30" t="n"/>
      <c r="D446" s="11">
        <f>IF(C446="","",C446*$B$1)</f>
        <v/>
      </c>
      <c r="E446" s="12">
        <f>IF(C446="","",C446-D446)</f>
        <v/>
      </c>
      <c r="F446" s="19">
        <f>IF(OR(B446="",C446=""),"",E446-B446)</f>
        <v/>
      </c>
      <c r="G446" s="21">
        <f>IF(OR(B446="",B446=0),"",F446/B446)</f>
        <v/>
      </c>
      <c r="H446" s="13" t="n"/>
    </row>
    <row r="447" ht="19.5" customHeight="1" s="49">
      <c r="A447" s="6" t="n"/>
      <c r="B447" s="24" t="n"/>
      <c r="C447" s="29" t="n"/>
      <c r="D447" s="7">
        <f>IF(C447="","",C447*$B$1)</f>
        <v/>
      </c>
      <c r="E447" s="8">
        <f>IF(C447="","",C447-D447)</f>
        <v/>
      </c>
      <c r="F447" s="18">
        <f>IF(OR(B447="",C447=""),"",E447-B447)</f>
        <v/>
      </c>
      <c r="G447" s="20">
        <f>IF(OR(B447="",B447=0),"",F447/B447)</f>
        <v/>
      </c>
      <c r="H447" s="9" t="n"/>
    </row>
    <row r="448" ht="19.5" customHeight="1" s="49">
      <c r="A448" s="10" t="n"/>
      <c r="B448" s="25" t="n"/>
      <c r="C448" s="30" t="n"/>
      <c r="D448" s="11">
        <f>IF(C448="","",C448*$B$1)</f>
        <v/>
      </c>
      <c r="E448" s="12">
        <f>IF(C448="","",C448-D448)</f>
        <v/>
      </c>
      <c r="F448" s="19">
        <f>IF(OR(B448="",C448=""),"",E448-B448)</f>
        <v/>
      </c>
      <c r="G448" s="21">
        <f>IF(OR(B448="",B448=0),"",F448/B448)</f>
        <v/>
      </c>
      <c r="H448" s="13" t="n"/>
    </row>
    <row r="449" ht="19.5" customHeight="1" s="49">
      <c r="A449" s="6" t="n"/>
      <c r="B449" s="24" t="n"/>
      <c r="C449" s="29" t="n"/>
      <c r="D449" s="7">
        <f>IF(C449="","",C449*$B$1)</f>
        <v/>
      </c>
      <c r="E449" s="8">
        <f>IF(C449="","",C449-D449)</f>
        <v/>
      </c>
      <c r="F449" s="18">
        <f>IF(OR(B449="",C449=""),"",E449-B449)</f>
        <v/>
      </c>
      <c r="G449" s="20">
        <f>IF(OR(B449="",B449=0),"",F449/B449)</f>
        <v/>
      </c>
      <c r="H449" s="9" t="n"/>
    </row>
    <row r="450" ht="19.5" customHeight="1" s="49">
      <c r="A450" s="10" t="n"/>
      <c r="B450" s="25" t="n"/>
      <c r="C450" s="30" t="n"/>
      <c r="D450" s="11">
        <f>IF(C450="","",C450*$B$1)</f>
        <v/>
      </c>
      <c r="E450" s="12">
        <f>IF(C450="","",C450-D450)</f>
        <v/>
      </c>
      <c r="F450" s="19">
        <f>IF(OR(B450="",C450=""),"",E450-B450)</f>
        <v/>
      </c>
      <c r="G450" s="21">
        <f>IF(OR(B450="",B450=0),"",F450/B450)</f>
        <v/>
      </c>
      <c r="H450" s="13" t="n"/>
    </row>
    <row r="451" ht="19.5" customHeight="1" s="49">
      <c r="A451" s="6" t="n"/>
      <c r="B451" s="24" t="n"/>
      <c r="C451" s="29" t="n"/>
      <c r="D451" s="7">
        <f>IF(C451="","",C451*$B$1)</f>
        <v/>
      </c>
      <c r="E451" s="8">
        <f>IF(C451="","",C451-D451)</f>
        <v/>
      </c>
      <c r="F451" s="18">
        <f>IF(OR(B451="",C451=""),"",E451-B451)</f>
        <v/>
      </c>
      <c r="G451" s="20">
        <f>IF(OR(B451="",B451=0),"",F451/B451)</f>
        <v/>
      </c>
      <c r="H451" s="9" t="n"/>
    </row>
    <row r="452" ht="19.5" customHeight="1" s="49">
      <c r="A452" s="10" t="n"/>
      <c r="B452" s="25" t="n"/>
      <c r="C452" s="30" t="n"/>
      <c r="D452" s="11">
        <f>IF(C452="","",C452*$B$1)</f>
        <v/>
      </c>
      <c r="E452" s="12">
        <f>IF(C452="","",C452-D452)</f>
        <v/>
      </c>
      <c r="F452" s="19">
        <f>IF(OR(B452="",C452=""),"",E452-B452)</f>
        <v/>
      </c>
      <c r="G452" s="21">
        <f>IF(OR(B452="",B452=0),"",F452/B452)</f>
        <v/>
      </c>
      <c r="H452" s="13" t="n"/>
    </row>
    <row r="453" ht="19.5" customHeight="1" s="49">
      <c r="A453" s="6" t="n"/>
      <c r="B453" s="24" t="n"/>
      <c r="C453" s="29" t="n"/>
      <c r="D453" s="7">
        <f>IF(C453="","",C453*$B$1)</f>
        <v/>
      </c>
      <c r="E453" s="8">
        <f>IF(C453="","",C453-D453)</f>
        <v/>
      </c>
      <c r="F453" s="18">
        <f>IF(OR(B453="",C453=""),"",E453-B453)</f>
        <v/>
      </c>
      <c r="G453" s="20">
        <f>IF(OR(B453="",B453=0),"",F453/B453)</f>
        <v/>
      </c>
      <c r="H453" s="9" t="n"/>
    </row>
    <row r="454" ht="19.5" customHeight="1" s="49">
      <c r="A454" s="10" t="n"/>
      <c r="B454" s="25" t="n"/>
      <c r="C454" s="30" t="n"/>
      <c r="D454" s="11">
        <f>IF(C454="","",C454*$B$1)</f>
        <v/>
      </c>
      <c r="E454" s="12">
        <f>IF(C454="","",C454-D454)</f>
        <v/>
      </c>
      <c r="F454" s="19">
        <f>IF(OR(B454="",C454=""),"",E454-B454)</f>
        <v/>
      </c>
      <c r="G454" s="21">
        <f>IF(OR(B454="",B454=0),"",F454/B454)</f>
        <v/>
      </c>
      <c r="H454" s="13" t="n"/>
    </row>
    <row r="455" ht="19.5" customHeight="1" s="49">
      <c r="A455" s="6" t="n"/>
      <c r="B455" s="24" t="n"/>
      <c r="C455" s="29" t="n"/>
      <c r="D455" s="7">
        <f>IF(C455="","",C455*$B$1)</f>
        <v/>
      </c>
      <c r="E455" s="8">
        <f>IF(C455="","",C455-D455)</f>
        <v/>
      </c>
      <c r="F455" s="18">
        <f>IF(OR(B455="",C455=""),"",E455-B455)</f>
        <v/>
      </c>
      <c r="G455" s="20">
        <f>IF(OR(B455="",B455=0),"",F455/B455)</f>
        <v/>
      </c>
      <c r="H455" s="9" t="n"/>
    </row>
    <row r="456" ht="19.5" customHeight="1" s="49">
      <c r="A456" s="10" t="n"/>
      <c r="B456" s="25" t="n"/>
      <c r="C456" s="30" t="n"/>
      <c r="D456" s="11">
        <f>IF(C456="","",C456*$B$1)</f>
        <v/>
      </c>
      <c r="E456" s="12">
        <f>IF(C456="","",C456-D456)</f>
        <v/>
      </c>
      <c r="F456" s="19">
        <f>IF(OR(B456="",C456=""),"",E456-B456)</f>
        <v/>
      </c>
      <c r="G456" s="21">
        <f>IF(OR(B456="",B456=0),"",F456/B456)</f>
        <v/>
      </c>
      <c r="H456" s="13" t="n"/>
    </row>
    <row r="457" ht="19.5" customHeight="1" s="49">
      <c r="A457" s="6" t="n"/>
      <c r="B457" s="24" t="n"/>
      <c r="C457" s="29" t="n"/>
      <c r="D457" s="7">
        <f>IF(C457="","",C457*$B$1)</f>
        <v/>
      </c>
      <c r="E457" s="8">
        <f>IF(C457="","",C457-D457)</f>
        <v/>
      </c>
      <c r="F457" s="18">
        <f>IF(OR(B457="",C457=""),"",E457-B457)</f>
        <v/>
      </c>
      <c r="G457" s="20">
        <f>IF(OR(B457="",B457=0),"",F457/B457)</f>
        <v/>
      </c>
      <c r="H457" s="9" t="n"/>
    </row>
    <row r="458" ht="19.5" customHeight="1" s="49">
      <c r="A458" s="10" t="n"/>
      <c r="B458" s="25" t="n"/>
      <c r="C458" s="30" t="n"/>
      <c r="D458" s="11">
        <f>IF(C458="","",C458*$B$1)</f>
        <v/>
      </c>
      <c r="E458" s="12">
        <f>IF(C458="","",C458-D458)</f>
        <v/>
      </c>
      <c r="F458" s="19">
        <f>IF(OR(B458="",C458=""),"",E458-B458)</f>
        <v/>
      </c>
      <c r="G458" s="21">
        <f>IF(OR(B458="",B458=0),"",F458/B458)</f>
        <v/>
      </c>
      <c r="H458" s="13" t="n"/>
    </row>
    <row r="459" ht="19.5" customHeight="1" s="49">
      <c r="A459" s="6" t="n"/>
      <c r="B459" s="24" t="n"/>
      <c r="C459" s="29" t="n"/>
      <c r="D459" s="7">
        <f>IF(C459="","",C459*$B$1)</f>
        <v/>
      </c>
      <c r="E459" s="8">
        <f>IF(C459="","",C459-D459)</f>
        <v/>
      </c>
      <c r="F459" s="18">
        <f>IF(OR(B459="",C459=""),"",E459-B459)</f>
        <v/>
      </c>
      <c r="G459" s="20">
        <f>IF(OR(B459="",B459=0),"",F459/B459)</f>
        <v/>
      </c>
      <c r="H459" s="9" t="n"/>
    </row>
    <row r="460" ht="19.5" customHeight="1" s="49">
      <c r="A460" s="10" t="n"/>
      <c r="B460" s="25" t="n"/>
      <c r="C460" s="30" t="n"/>
      <c r="D460" s="11">
        <f>IF(C460="","",C460*$B$1)</f>
        <v/>
      </c>
      <c r="E460" s="12">
        <f>IF(C460="","",C460-D460)</f>
        <v/>
      </c>
      <c r="F460" s="19">
        <f>IF(OR(B460="",C460=""),"",E460-B460)</f>
        <v/>
      </c>
      <c r="G460" s="21">
        <f>IF(OR(B460="",B460=0),"",F460/B460)</f>
        <v/>
      </c>
      <c r="H460" s="13" t="n"/>
    </row>
    <row r="461" ht="19.5" customHeight="1" s="49">
      <c r="A461" s="6" t="n"/>
      <c r="B461" s="24" t="n"/>
      <c r="C461" s="29" t="n"/>
      <c r="D461" s="7">
        <f>IF(C461="","",C461*$B$1)</f>
        <v/>
      </c>
      <c r="E461" s="8">
        <f>IF(C461="","",C461-D461)</f>
        <v/>
      </c>
      <c r="F461" s="18">
        <f>IF(OR(B461="",C461=""),"",E461-B461)</f>
        <v/>
      </c>
      <c r="G461" s="20">
        <f>IF(OR(B461="",B461=0),"",F461/B461)</f>
        <v/>
      </c>
      <c r="H461" s="9" t="n"/>
    </row>
    <row r="462" ht="19.5" customHeight="1" s="49">
      <c r="A462" s="10" t="n"/>
      <c r="B462" s="25" t="n"/>
      <c r="C462" s="30" t="n"/>
      <c r="D462" s="11">
        <f>IF(C462="","",C462*$B$1)</f>
        <v/>
      </c>
      <c r="E462" s="12">
        <f>IF(C462="","",C462-D462)</f>
        <v/>
      </c>
      <c r="F462" s="19">
        <f>IF(OR(B462="",C462=""),"",E462-B462)</f>
        <v/>
      </c>
      <c r="G462" s="21">
        <f>IF(OR(B462="",B462=0),"",F462/B462)</f>
        <v/>
      </c>
      <c r="H462" s="13" t="n"/>
    </row>
    <row r="463" ht="19.5" customHeight="1" s="49">
      <c r="A463" s="6" t="n"/>
      <c r="B463" s="24" t="n"/>
      <c r="C463" s="29" t="n"/>
      <c r="D463" s="7">
        <f>IF(C463="","",C463*$B$1)</f>
        <v/>
      </c>
      <c r="E463" s="8">
        <f>IF(C463="","",C463-D463)</f>
        <v/>
      </c>
      <c r="F463" s="18">
        <f>IF(OR(B463="",C463=""),"",E463-B463)</f>
        <v/>
      </c>
      <c r="G463" s="20">
        <f>IF(OR(B463="",B463=0),"",F463/B463)</f>
        <v/>
      </c>
      <c r="H463" s="9" t="n"/>
    </row>
    <row r="464" ht="19.5" customHeight="1" s="49">
      <c r="A464" s="10" t="n"/>
      <c r="B464" s="25" t="n"/>
      <c r="C464" s="30" t="n"/>
      <c r="D464" s="11">
        <f>IF(C464="","",C464*$B$1)</f>
        <v/>
      </c>
      <c r="E464" s="12">
        <f>IF(C464="","",C464-D464)</f>
        <v/>
      </c>
      <c r="F464" s="19">
        <f>IF(OR(B464="",C464=""),"",E464-B464)</f>
        <v/>
      </c>
      <c r="G464" s="21">
        <f>IF(OR(B464="",B464=0),"",F464/B464)</f>
        <v/>
      </c>
      <c r="H464" s="13" t="n"/>
    </row>
    <row r="465" ht="19.5" customHeight="1" s="49">
      <c r="A465" s="6" t="n"/>
      <c r="B465" s="24" t="n"/>
      <c r="C465" s="29" t="n"/>
      <c r="D465" s="7">
        <f>IF(C465="","",C465*$B$1)</f>
        <v/>
      </c>
      <c r="E465" s="8">
        <f>IF(C465="","",C465-D465)</f>
        <v/>
      </c>
      <c r="F465" s="18">
        <f>IF(OR(B465="",C465=""),"",E465-B465)</f>
        <v/>
      </c>
      <c r="G465" s="20">
        <f>IF(OR(B465="",B465=0),"",F465/B465)</f>
        <v/>
      </c>
      <c r="H465" s="9" t="n"/>
    </row>
    <row r="466" ht="19.5" customHeight="1" s="49">
      <c r="A466" s="10" t="n"/>
      <c r="B466" s="25" t="n"/>
      <c r="C466" s="30" t="n"/>
      <c r="D466" s="11">
        <f>IF(C466="","",C466*$B$1)</f>
        <v/>
      </c>
      <c r="E466" s="12">
        <f>IF(C466="","",C466-D466)</f>
        <v/>
      </c>
      <c r="F466" s="19">
        <f>IF(OR(B466="",C466=""),"",E466-B466)</f>
        <v/>
      </c>
      <c r="G466" s="21">
        <f>IF(OR(B466="",B466=0),"",F466/B466)</f>
        <v/>
      </c>
      <c r="H466" s="13" t="n"/>
    </row>
    <row r="467" ht="19.5" customHeight="1" s="49">
      <c r="A467" s="6" t="n"/>
      <c r="B467" s="24" t="n"/>
      <c r="C467" s="29" t="n"/>
      <c r="D467" s="7">
        <f>IF(C467="","",C467*$B$1)</f>
        <v/>
      </c>
      <c r="E467" s="8">
        <f>IF(C467="","",C467-D467)</f>
        <v/>
      </c>
      <c r="F467" s="18">
        <f>IF(OR(B467="",C467=""),"",E467-B467)</f>
        <v/>
      </c>
      <c r="G467" s="20">
        <f>IF(OR(B467="",B467=0),"",F467/B467)</f>
        <v/>
      </c>
      <c r="H467" s="9" t="n"/>
    </row>
    <row r="468" ht="19.5" customHeight="1" s="49">
      <c r="A468" s="10" t="n"/>
      <c r="B468" s="25" t="n"/>
      <c r="C468" s="30" t="n"/>
      <c r="D468" s="11">
        <f>IF(C468="","",C468*$B$1)</f>
        <v/>
      </c>
      <c r="E468" s="12">
        <f>IF(C468="","",C468-D468)</f>
        <v/>
      </c>
      <c r="F468" s="19">
        <f>IF(OR(B468="",C468=""),"",E468-B468)</f>
        <v/>
      </c>
      <c r="G468" s="21">
        <f>IF(OR(B468="",B468=0),"",F468/B468)</f>
        <v/>
      </c>
      <c r="H468" s="13" t="n"/>
    </row>
    <row r="469" ht="19.5" customHeight="1" s="49">
      <c r="A469" s="6" t="n"/>
      <c r="B469" s="24" t="n"/>
      <c r="C469" s="29" t="n"/>
      <c r="D469" s="7">
        <f>IF(C469="","",C469*$B$1)</f>
        <v/>
      </c>
      <c r="E469" s="8">
        <f>IF(C469="","",C469-D469)</f>
        <v/>
      </c>
      <c r="F469" s="18">
        <f>IF(OR(B469="",C469=""),"",E469-B469)</f>
        <v/>
      </c>
      <c r="G469" s="20">
        <f>IF(OR(B469="",B469=0),"",F469/B469)</f>
        <v/>
      </c>
      <c r="H469" s="9" t="n"/>
    </row>
    <row r="470" ht="19.5" customHeight="1" s="49">
      <c r="A470" s="10" t="n"/>
      <c r="B470" s="25" t="n"/>
      <c r="C470" s="30" t="n"/>
      <c r="D470" s="11">
        <f>IF(C470="","",C470*$B$1)</f>
        <v/>
      </c>
      <c r="E470" s="12">
        <f>IF(C470="","",C470-D470)</f>
        <v/>
      </c>
      <c r="F470" s="19">
        <f>IF(OR(B470="",C470=""),"",E470-B470)</f>
        <v/>
      </c>
      <c r="G470" s="21">
        <f>IF(OR(B470="",B470=0),"",F470/B470)</f>
        <v/>
      </c>
      <c r="H470" s="13" t="n"/>
    </row>
    <row r="471" ht="19.5" customHeight="1" s="49">
      <c r="A471" s="6" t="n"/>
      <c r="B471" s="24" t="n"/>
      <c r="C471" s="29" t="n"/>
      <c r="D471" s="7">
        <f>IF(C471="","",C471*$B$1)</f>
        <v/>
      </c>
      <c r="E471" s="8">
        <f>IF(C471="","",C471-D471)</f>
        <v/>
      </c>
      <c r="F471" s="18">
        <f>IF(OR(B471="",C471=""),"",E471-B471)</f>
        <v/>
      </c>
      <c r="G471" s="20">
        <f>IF(OR(B471="",B471=0),"",F471/B471)</f>
        <v/>
      </c>
      <c r="H471" s="9" t="n"/>
    </row>
    <row r="472" ht="19.5" customHeight="1" s="49">
      <c r="A472" s="10" t="n"/>
      <c r="B472" s="25" t="n"/>
      <c r="C472" s="30" t="n"/>
      <c r="D472" s="11">
        <f>IF(C472="","",C472*$B$1)</f>
        <v/>
      </c>
      <c r="E472" s="12">
        <f>IF(C472="","",C472-D472)</f>
        <v/>
      </c>
      <c r="F472" s="19">
        <f>IF(OR(B472="",C472=""),"",E472-B472)</f>
        <v/>
      </c>
      <c r="G472" s="21">
        <f>IF(OR(B472="",B472=0),"",F472/B472)</f>
        <v/>
      </c>
      <c r="H472" s="13" t="n"/>
    </row>
    <row r="473" ht="19.5" customHeight="1" s="49">
      <c r="A473" s="6" t="n"/>
      <c r="B473" s="24" t="n"/>
      <c r="C473" s="29" t="n"/>
      <c r="D473" s="7">
        <f>IF(C473="","",C473*$B$1)</f>
        <v/>
      </c>
      <c r="E473" s="8">
        <f>IF(C473="","",C473-D473)</f>
        <v/>
      </c>
      <c r="F473" s="18">
        <f>IF(OR(B473="",C473=""),"",E473-B473)</f>
        <v/>
      </c>
      <c r="G473" s="20">
        <f>IF(OR(B473="",B473=0),"",F473/B473)</f>
        <v/>
      </c>
      <c r="H473" s="9" t="n"/>
    </row>
    <row r="474" ht="19.5" customHeight="1" s="49">
      <c r="A474" s="10" t="n"/>
      <c r="B474" s="25" t="n"/>
      <c r="C474" s="30" t="n"/>
      <c r="D474" s="11">
        <f>IF(C474="","",C474*$B$1)</f>
        <v/>
      </c>
      <c r="E474" s="12">
        <f>IF(C474="","",C474-D474)</f>
        <v/>
      </c>
      <c r="F474" s="19">
        <f>IF(OR(B474="",C474=""),"",E474-B474)</f>
        <v/>
      </c>
      <c r="G474" s="21">
        <f>IF(OR(B474="",B474=0),"",F474/B474)</f>
        <v/>
      </c>
      <c r="H474" s="13" t="n"/>
    </row>
    <row r="475" ht="19.5" customHeight="1" s="49">
      <c r="A475" s="6" t="n"/>
      <c r="B475" s="24" t="n"/>
      <c r="C475" s="29" t="n"/>
      <c r="D475" s="7">
        <f>IF(C475="","",C475*$B$1)</f>
        <v/>
      </c>
      <c r="E475" s="8">
        <f>IF(C475="","",C475-D475)</f>
        <v/>
      </c>
      <c r="F475" s="18">
        <f>IF(OR(B475="",C475=""),"",E475-B475)</f>
        <v/>
      </c>
      <c r="G475" s="20">
        <f>IF(OR(B475="",B475=0),"",F475/B475)</f>
        <v/>
      </c>
      <c r="H475" s="9" t="n"/>
    </row>
    <row r="476" ht="19.5" customHeight="1" s="49">
      <c r="A476" s="10" t="n"/>
      <c r="B476" s="25" t="n"/>
      <c r="C476" s="30" t="n"/>
      <c r="D476" s="11">
        <f>IF(C476="","",C476*$B$1)</f>
        <v/>
      </c>
      <c r="E476" s="12">
        <f>IF(C476="","",C476-D476)</f>
        <v/>
      </c>
      <c r="F476" s="19">
        <f>IF(OR(B476="",C476=""),"",E476-B476)</f>
        <v/>
      </c>
      <c r="G476" s="21">
        <f>IF(OR(B476="",B476=0),"",F476/B476)</f>
        <v/>
      </c>
      <c r="H476" s="13" t="n"/>
    </row>
    <row r="477" ht="19.5" customHeight="1" s="49">
      <c r="A477" s="6" t="n"/>
      <c r="B477" s="24" t="n"/>
      <c r="C477" s="29" t="n"/>
      <c r="D477" s="7">
        <f>IF(C477="","",C477*$B$1)</f>
        <v/>
      </c>
      <c r="E477" s="8">
        <f>IF(C477="","",C477-D477)</f>
        <v/>
      </c>
      <c r="F477" s="18">
        <f>IF(OR(B477="",C477=""),"",E477-B477)</f>
        <v/>
      </c>
      <c r="G477" s="20">
        <f>IF(OR(B477="",B477=0),"",F477/B477)</f>
        <v/>
      </c>
      <c r="H477" s="9" t="n"/>
    </row>
    <row r="478" ht="19.5" customHeight="1" s="49">
      <c r="A478" s="10" t="n"/>
      <c r="B478" s="25" t="n"/>
      <c r="C478" s="30" t="n"/>
      <c r="D478" s="11">
        <f>IF(C478="","",C478*$B$1)</f>
        <v/>
      </c>
      <c r="E478" s="12">
        <f>IF(C478="","",C478-D478)</f>
        <v/>
      </c>
      <c r="F478" s="19">
        <f>IF(OR(B478="",C478=""),"",E478-B478)</f>
        <v/>
      </c>
      <c r="G478" s="21">
        <f>IF(OR(B478="",B478=0),"",F478/B478)</f>
        <v/>
      </c>
      <c r="H478" s="13" t="n"/>
    </row>
    <row r="479" ht="19.5" customHeight="1" s="49">
      <c r="A479" s="6" t="n"/>
      <c r="B479" s="24" t="n"/>
      <c r="C479" s="29" t="n"/>
      <c r="D479" s="7">
        <f>IF(C479="","",C479*$B$1)</f>
        <v/>
      </c>
      <c r="E479" s="8">
        <f>IF(C479="","",C479-D479)</f>
        <v/>
      </c>
      <c r="F479" s="18">
        <f>IF(OR(B479="",C479=""),"",E479-B479)</f>
        <v/>
      </c>
      <c r="G479" s="20">
        <f>IF(OR(B479="",B479=0),"",F479/B479)</f>
        <v/>
      </c>
      <c r="H479" s="9" t="n"/>
    </row>
    <row r="480" ht="19.5" customHeight="1" s="49">
      <c r="A480" s="10" t="n"/>
      <c r="B480" s="25" t="n"/>
      <c r="C480" s="30" t="n"/>
      <c r="D480" s="11">
        <f>IF(C480="","",C480*$B$1)</f>
        <v/>
      </c>
      <c r="E480" s="12">
        <f>IF(C480="","",C480-D480)</f>
        <v/>
      </c>
      <c r="F480" s="19">
        <f>IF(OR(B480="",C480=""),"",E480-B480)</f>
        <v/>
      </c>
      <c r="G480" s="21">
        <f>IF(OR(B480="",B480=0),"",F480/B480)</f>
        <v/>
      </c>
      <c r="H480" s="13" t="n"/>
    </row>
    <row r="481" ht="19.5" customHeight="1" s="49">
      <c r="A481" s="6" t="n"/>
      <c r="B481" s="24" t="n"/>
      <c r="C481" s="29" t="n"/>
      <c r="D481" s="7">
        <f>IF(C481="","",C481*$B$1)</f>
        <v/>
      </c>
      <c r="E481" s="8">
        <f>IF(C481="","",C481-D481)</f>
        <v/>
      </c>
      <c r="F481" s="18">
        <f>IF(OR(B481="",C481=""),"",E481-B481)</f>
        <v/>
      </c>
      <c r="G481" s="20">
        <f>IF(OR(B481="",B481=0),"",F481/B481)</f>
        <v/>
      </c>
      <c r="H481" s="9" t="n"/>
    </row>
    <row r="482" ht="19.5" customHeight="1" s="49">
      <c r="A482" s="10" t="n"/>
      <c r="B482" s="25" t="n"/>
      <c r="C482" s="30" t="n"/>
      <c r="D482" s="11">
        <f>IF(C482="","",C482*$B$1)</f>
        <v/>
      </c>
      <c r="E482" s="12">
        <f>IF(C482="","",C482-D482)</f>
        <v/>
      </c>
      <c r="F482" s="19">
        <f>IF(OR(B482="",C482=""),"",E482-B482)</f>
        <v/>
      </c>
      <c r="G482" s="21">
        <f>IF(OR(B482="",B482=0),"",F482/B482)</f>
        <v/>
      </c>
      <c r="H482" s="13" t="n"/>
    </row>
    <row r="483" ht="19.5" customHeight="1" s="49">
      <c r="A483" s="6" t="n"/>
      <c r="B483" s="24" t="n"/>
      <c r="C483" s="29" t="n"/>
      <c r="D483" s="7">
        <f>IF(C483="","",C483*$B$1)</f>
        <v/>
      </c>
      <c r="E483" s="8">
        <f>IF(C483="","",C483-D483)</f>
        <v/>
      </c>
      <c r="F483" s="18">
        <f>IF(OR(B483="",C483=""),"",E483-B483)</f>
        <v/>
      </c>
      <c r="G483" s="20">
        <f>IF(OR(B483="",B483=0),"",F483/B483)</f>
        <v/>
      </c>
      <c r="H483" s="9" t="n"/>
    </row>
    <row r="484" ht="19.5" customHeight="1" s="49">
      <c r="A484" s="10" t="n"/>
      <c r="B484" s="25" t="n"/>
      <c r="C484" s="30" t="n"/>
      <c r="D484" s="11">
        <f>IF(C484="","",C484*$B$1)</f>
        <v/>
      </c>
      <c r="E484" s="12">
        <f>IF(C484="","",C484-D484)</f>
        <v/>
      </c>
      <c r="F484" s="19">
        <f>IF(OR(B484="",C484=""),"",E484-B484)</f>
        <v/>
      </c>
      <c r="G484" s="21">
        <f>IF(OR(B484="",B484=0),"",F484/B484)</f>
        <v/>
      </c>
      <c r="H484" s="13" t="n"/>
    </row>
    <row r="485" ht="19.5" customHeight="1" s="49">
      <c r="A485" s="6" t="n"/>
      <c r="B485" s="24" t="n"/>
      <c r="C485" s="29" t="n"/>
      <c r="D485" s="7">
        <f>IF(C485="","",C485*$B$1)</f>
        <v/>
      </c>
      <c r="E485" s="8">
        <f>IF(C485="","",C485-D485)</f>
        <v/>
      </c>
      <c r="F485" s="18">
        <f>IF(OR(B485="",C485=""),"",E485-B485)</f>
        <v/>
      </c>
      <c r="G485" s="20">
        <f>IF(OR(B485="",B485=0),"",F485/B485)</f>
        <v/>
      </c>
      <c r="H485" s="9" t="n"/>
    </row>
    <row r="486" ht="19.5" customHeight="1" s="49">
      <c r="A486" s="10" t="n"/>
      <c r="B486" s="25" t="n"/>
      <c r="C486" s="30" t="n"/>
      <c r="D486" s="11">
        <f>IF(C486="","",C486*$B$1)</f>
        <v/>
      </c>
      <c r="E486" s="12">
        <f>IF(C486="","",C486-D486)</f>
        <v/>
      </c>
      <c r="F486" s="19">
        <f>IF(OR(B486="",C486=""),"",E486-B486)</f>
        <v/>
      </c>
      <c r="G486" s="21">
        <f>IF(OR(B486="",B486=0),"",F486/B486)</f>
        <v/>
      </c>
      <c r="H486" s="13" t="n"/>
    </row>
    <row r="487" ht="19.5" customHeight="1" s="49">
      <c r="A487" s="6" t="n"/>
      <c r="B487" s="24" t="n"/>
      <c r="C487" s="29" t="n"/>
      <c r="D487" s="7">
        <f>IF(C487="","",C487*$B$1)</f>
        <v/>
      </c>
      <c r="E487" s="8">
        <f>IF(C487="","",C487-D487)</f>
        <v/>
      </c>
      <c r="F487" s="18">
        <f>IF(OR(B487="",C487=""),"",E487-B487)</f>
        <v/>
      </c>
      <c r="G487" s="20">
        <f>IF(OR(B487="",B487=0),"",F487/B487)</f>
        <v/>
      </c>
      <c r="H487" s="9" t="n"/>
    </row>
    <row r="488" ht="19.5" customHeight="1" s="49">
      <c r="A488" s="10" t="n"/>
      <c r="B488" s="25" t="n"/>
      <c r="C488" s="30" t="n"/>
      <c r="D488" s="11">
        <f>IF(C488="","",C488*$B$1)</f>
        <v/>
      </c>
      <c r="E488" s="12">
        <f>IF(C488="","",C488-D488)</f>
        <v/>
      </c>
      <c r="F488" s="19">
        <f>IF(OR(B488="",C488=""),"",E488-B488)</f>
        <v/>
      </c>
      <c r="G488" s="21">
        <f>IF(OR(B488="",B488=0),"",F488/B488)</f>
        <v/>
      </c>
      <c r="H488" s="13" t="n"/>
    </row>
    <row r="489" ht="19.5" customHeight="1" s="49">
      <c r="A489" s="6" t="n"/>
      <c r="B489" s="24" t="n"/>
      <c r="C489" s="29" t="n"/>
      <c r="D489" s="7">
        <f>IF(C489="","",C489*$B$1)</f>
        <v/>
      </c>
      <c r="E489" s="8">
        <f>IF(C489="","",C489-D489)</f>
        <v/>
      </c>
      <c r="F489" s="18">
        <f>IF(OR(B489="",C489=""),"",E489-B489)</f>
        <v/>
      </c>
      <c r="G489" s="20">
        <f>IF(OR(B489="",B489=0),"",F489/B489)</f>
        <v/>
      </c>
      <c r="H489" s="9" t="n"/>
    </row>
    <row r="490" ht="19.5" customHeight="1" s="49">
      <c r="A490" s="10" t="n"/>
      <c r="B490" s="25" t="n"/>
      <c r="C490" s="30" t="n"/>
      <c r="D490" s="11">
        <f>IF(C490="","",C490*$B$1)</f>
        <v/>
      </c>
      <c r="E490" s="12">
        <f>IF(C490="","",C490-D490)</f>
        <v/>
      </c>
      <c r="F490" s="19">
        <f>IF(OR(B490="",C490=""),"",E490-B490)</f>
        <v/>
      </c>
      <c r="G490" s="21">
        <f>IF(OR(B490="",B490=0),"",F490/B490)</f>
        <v/>
      </c>
      <c r="H490" s="13" t="n"/>
    </row>
    <row r="491" ht="19.5" customHeight="1" s="49">
      <c r="A491" s="6" t="n"/>
      <c r="B491" s="24" t="n"/>
      <c r="C491" s="29" t="n"/>
      <c r="D491" s="7">
        <f>IF(C491="","",C491*$B$1)</f>
        <v/>
      </c>
      <c r="E491" s="8">
        <f>IF(C491="","",C491-D491)</f>
        <v/>
      </c>
      <c r="F491" s="18">
        <f>IF(OR(B491="",C491=""),"",E491-B491)</f>
        <v/>
      </c>
      <c r="G491" s="20">
        <f>IF(OR(B491="",B491=0),"",F491/B491)</f>
        <v/>
      </c>
      <c r="H491" s="9" t="n"/>
    </row>
    <row r="492" ht="19.5" customHeight="1" s="49">
      <c r="A492" s="10" t="n"/>
      <c r="B492" s="25" t="n"/>
      <c r="C492" s="30" t="n"/>
      <c r="D492" s="11">
        <f>IF(C492="","",C492*$B$1)</f>
        <v/>
      </c>
      <c r="E492" s="12">
        <f>IF(C492="","",C492-D492)</f>
        <v/>
      </c>
      <c r="F492" s="19">
        <f>IF(OR(B492="",C492=""),"",E492-B492)</f>
        <v/>
      </c>
      <c r="G492" s="21">
        <f>IF(OR(B492="",B492=0),"",F492/B492)</f>
        <v/>
      </c>
      <c r="H492" s="13" t="n"/>
    </row>
    <row r="493" ht="19.5" customHeight="1" s="49">
      <c r="A493" s="6" t="n"/>
      <c r="B493" s="24" t="n"/>
      <c r="C493" s="29" t="n"/>
      <c r="D493" s="7">
        <f>IF(C493="","",C493*$B$1)</f>
        <v/>
      </c>
      <c r="E493" s="8">
        <f>IF(C493="","",C493-D493)</f>
        <v/>
      </c>
      <c r="F493" s="18">
        <f>IF(OR(B493="",C493=""),"",E493-B493)</f>
        <v/>
      </c>
      <c r="G493" s="20">
        <f>IF(OR(B493="",B493=0),"",F493/B493)</f>
        <v/>
      </c>
      <c r="H493" s="9" t="n"/>
    </row>
    <row r="494" ht="19.5" customHeight="1" s="49">
      <c r="A494" s="10" t="n"/>
      <c r="B494" s="25" t="n"/>
      <c r="C494" s="30" t="n"/>
      <c r="D494" s="11">
        <f>IF(C494="","",C494*$B$1)</f>
        <v/>
      </c>
      <c r="E494" s="12">
        <f>IF(C494="","",C494-D494)</f>
        <v/>
      </c>
      <c r="F494" s="19">
        <f>IF(OR(B494="",C494=""),"",E494-B494)</f>
        <v/>
      </c>
      <c r="G494" s="21">
        <f>IF(OR(B494="",B494=0),"",F494/B494)</f>
        <v/>
      </c>
      <c r="H494" s="13" t="n"/>
    </row>
    <row r="495" ht="19.5" customHeight="1" s="49">
      <c r="A495" s="6" t="n"/>
      <c r="B495" s="24" t="n"/>
      <c r="C495" s="29" t="n"/>
      <c r="D495" s="7">
        <f>IF(C495="","",C495*$B$1)</f>
        <v/>
      </c>
      <c r="E495" s="8">
        <f>IF(C495="","",C495-D495)</f>
        <v/>
      </c>
      <c r="F495" s="18">
        <f>IF(OR(B495="",C495=""),"",E495-B495)</f>
        <v/>
      </c>
      <c r="G495" s="20">
        <f>IF(OR(B495="",B495=0),"",F495/B495)</f>
        <v/>
      </c>
      <c r="H495" s="9" t="n"/>
    </row>
    <row r="496" ht="19.5" customHeight="1" s="49">
      <c r="A496" s="10" t="n"/>
      <c r="B496" s="25" t="n"/>
      <c r="C496" s="30" t="n"/>
      <c r="D496" s="11">
        <f>IF(C496="","",C496*$B$1)</f>
        <v/>
      </c>
      <c r="E496" s="12">
        <f>IF(C496="","",C496-D496)</f>
        <v/>
      </c>
      <c r="F496" s="19">
        <f>IF(OR(B496="",C496=""),"",E496-B496)</f>
        <v/>
      </c>
      <c r="G496" s="21">
        <f>IF(OR(B496="",B496=0),"",F496/B496)</f>
        <v/>
      </c>
      <c r="H496" s="13" t="n"/>
    </row>
    <row r="497" ht="19.5" customHeight="1" s="49">
      <c r="A497" s="6" t="n"/>
      <c r="B497" s="24" t="n"/>
      <c r="C497" s="29" t="n"/>
      <c r="D497" s="7">
        <f>IF(C497="","",C497*$B$1)</f>
        <v/>
      </c>
      <c r="E497" s="8">
        <f>IF(C497="","",C497-D497)</f>
        <v/>
      </c>
      <c r="F497" s="18">
        <f>IF(OR(B497="",C497=""),"",E497-B497)</f>
        <v/>
      </c>
      <c r="G497" s="20">
        <f>IF(OR(B497="",B497=0),"",F497/B497)</f>
        <v/>
      </c>
      <c r="H497" s="9" t="n"/>
    </row>
    <row r="498" ht="19.5" customHeight="1" s="49">
      <c r="A498" s="10" t="n"/>
      <c r="B498" s="25" t="n"/>
      <c r="C498" s="30" t="n"/>
      <c r="D498" s="11">
        <f>IF(C498="","",C498*$B$1)</f>
        <v/>
      </c>
      <c r="E498" s="12">
        <f>IF(C498="","",C498-D498)</f>
        <v/>
      </c>
      <c r="F498" s="19">
        <f>IF(OR(B498="",C498=""),"",E498-B498)</f>
        <v/>
      </c>
      <c r="G498" s="21">
        <f>IF(OR(B498="",B498=0),"",F498/B498)</f>
        <v/>
      </c>
      <c r="H498" s="13" t="n"/>
    </row>
    <row r="499" ht="19.5" customHeight="1" s="49">
      <c r="A499" s="6" t="n"/>
      <c r="B499" s="24" t="n"/>
      <c r="C499" s="29" t="n"/>
      <c r="D499" s="7">
        <f>IF(C499="","",C499*$B$1)</f>
        <v/>
      </c>
      <c r="E499" s="8">
        <f>IF(C499="","",C499-D499)</f>
        <v/>
      </c>
      <c r="F499" s="18">
        <f>IF(OR(B499="",C499=""),"",E499-B499)</f>
        <v/>
      </c>
      <c r="G499" s="20">
        <f>IF(OR(B499="",B499=0),"",F499/B499)</f>
        <v/>
      </c>
      <c r="H499" s="9" t="n"/>
    </row>
    <row r="500" ht="19.5" customHeight="1" s="49">
      <c r="A500" s="10" t="n"/>
      <c r="B500" s="25" t="n"/>
      <c r="C500" s="30" t="n"/>
      <c r="D500" s="11">
        <f>IF(C500="","",C500*$B$1)</f>
        <v/>
      </c>
      <c r="E500" s="12">
        <f>IF(C500="","",C500-D500)</f>
        <v/>
      </c>
      <c r="F500" s="19">
        <f>IF(OR(B500="",C500=""),"",E500-B500)</f>
        <v/>
      </c>
      <c r="G500" s="21">
        <f>IF(OR(B500="",B500=0),"",F500/B500)</f>
        <v/>
      </c>
      <c r="H500" s="13" t="n"/>
    </row>
    <row r="501" ht="19.5" customHeight="1" s="49">
      <c r="A501" s="6" t="n"/>
      <c r="B501" s="24" t="n"/>
      <c r="C501" s="29" t="n"/>
      <c r="D501" s="7">
        <f>IF(C501="","",C501*$B$1)</f>
        <v/>
      </c>
      <c r="E501" s="8">
        <f>IF(C501="","",C501-D501)</f>
        <v/>
      </c>
      <c r="F501" s="18">
        <f>IF(OR(B501="",C501=""),"",E501-B501)</f>
        <v/>
      </c>
      <c r="G501" s="20">
        <f>IF(OR(B501="",B501=0),"",F501/B501)</f>
        <v/>
      </c>
      <c r="H501" s="9" t="n"/>
    </row>
    <row r="502" ht="19.5" customHeight="1" s="49">
      <c r="A502" s="10" t="n"/>
      <c r="B502" s="25" t="n"/>
      <c r="C502" s="30" t="n"/>
      <c r="D502" s="11">
        <f>IF(C502="","",C502*$B$1)</f>
        <v/>
      </c>
      <c r="E502" s="12">
        <f>IF(C502="","",C502-D502)</f>
        <v/>
      </c>
      <c r="F502" s="19">
        <f>IF(OR(B502="",C502=""),"",E502-B502)</f>
        <v/>
      </c>
      <c r="G502" s="21">
        <f>IF(OR(B502="",B502=0),"",F502/B502)</f>
        <v/>
      </c>
      <c r="H502" s="13" t="n"/>
    </row>
    <row r="503" ht="19.5" customHeight="1" s="49">
      <c r="A503" s="6" t="n"/>
      <c r="B503" s="24" t="n"/>
      <c r="C503" s="29" t="n"/>
      <c r="D503" s="7">
        <f>IF(C503="","",C503*$B$1)</f>
        <v/>
      </c>
      <c r="E503" s="8">
        <f>IF(C503="","",C503-D503)</f>
        <v/>
      </c>
      <c r="F503" s="18">
        <f>IF(OR(B503="",C503=""),"",E503-B503)</f>
        <v/>
      </c>
      <c r="G503" s="20">
        <f>IF(OR(B503="",B503=0),"",F503/B503)</f>
        <v/>
      </c>
      <c r="H503" s="9" t="n"/>
    </row>
    <row r="504" ht="19.5" customHeight="1" s="49">
      <c r="A504" s="10" t="n"/>
      <c r="B504" s="25" t="n"/>
      <c r="C504" s="30" t="n"/>
      <c r="D504" s="11">
        <f>IF(C504="","",C504*$B$1)</f>
        <v/>
      </c>
      <c r="E504" s="12">
        <f>IF(C504="","",C504-D504)</f>
        <v/>
      </c>
      <c r="F504" s="19">
        <f>IF(OR(B504="",C504=""),"",E504-B504)</f>
        <v/>
      </c>
      <c r="G504" s="21">
        <f>IF(OR(B504="",B504=0),"",F504/B504)</f>
        <v/>
      </c>
      <c r="H504" s="13" t="n"/>
    </row>
    <row r="505" ht="19.5" customHeight="1" s="49">
      <c r="A505" s="6" t="n"/>
      <c r="B505" s="24" t="n"/>
      <c r="C505" s="29" t="n"/>
      <c r="D505" s="7">
        <f>IF(C505="","",C505*$B$1)</f>
        <v/>
      </c>
      <c r="E505" s="8">
        <f>IF(C505="","",C505-D505)</f>
        <v/>
      </c>
      <c r="F505" s="18">
        <f>IF(OR(B505="",C505=""),"",E505-B505)</f>
        <v/>
      </c>
      <c r="G505" s="20">
        <f>IF(OR(B505="",B505=0),"",F505/B505)</f>
        <v/>
      </c>
      <c r="H505" s="9" t="n"/>
    </row>
    <row r="506" ht="19.5" customHeight="1" s="49">
      <c r="A506" s="10" t="n"/>
      <c r="B506" s="25" t="n"/>
      <c r="C506" s="30" t="n"/>
      <c r="D506" s="11">
        <f>IF(C506="","",C506*$B$1)</f>
        <v/>
      </c>
      <c r="E506" s="12">
        <f>IF(C506="","",C506-D506)</f>
        <v/>
      </c>
      <c r="F506" s="19">
        <f>IF(OR(B506="",C506=""),"",E506-B506)</f>
        <v/>
      </c>
      <c r="G506" s="21">
        <f>IF(OR(B506="",B506=0),"",F506/B506)</f>
        <v/>
      </c>
      <c r="H506" s="13" t="n"/>
    </row>
    <row r="507" ht="19.5" customHeight="1" s="49">
      <c r="A507" s="6" t="n"/>
      <c r="B507" s="24" t="n"/>
      <c r="C507" s="29" t="n"/>
      <c r="D507" s="7">
        <f>IF(C507="","",C507*$B$1)</f>
        <v/>
      </c>
      <c r="E507" s="8">
        <f>IF(C507="","",C507-D507)</f>
        <v/>
      </c>
      <c r="F507" s="18">
        <f>IF(OR(B507="",C507=""),"",E507-B507)</f>
        <v/>
      </c>
      <c r="G507" s="20">
        <f>IF(OR(B507="",B507=0),"",F507/B507)</f>
        <v/>
      </c>
      <c r="H507" s="9" t="n"/>
    </row>
    <row r="508" ht="19.5" customHeight="1" s="49">
      <c r="A508" s="10" t="n"/>
      <c r="B508" s="25" t="n"/>
      <c r="C508" s="30" t="n"/>
      <c r="D508" s="11">
        <f>IF(C508="","",C508*$B$1)</f>
        <v/>
      </c>
      <c r="E508" s="12">
        <f>IF(C508="","",C508-D508)</f>
        <v/>
      </c>
      <c r="F508" s="19">
        <f>IF(OR(B508="",C508=""),"",E508-B508)</f>
        <v/>
      </c>
      <c r="G508" s="21">
        <f>IF(OR(B508="",B508=0),"",F508/B508)</f>
        <v/>
      </c>
      <c r="H508" s="13" t="n"/>
    </row>
    <row r="509" ht="19.5" customHeight="1" s="49">
      <c r="A509" s="6" t="n"/>
      <c r="B509" s="24" t="n"/>
      <c r="C509" s="29" t="n"/>
      <c r="D509" s="7">
        <f>IF(C509="","",C509*$B$1)</f>
        <v/>
      </c>
      <c r="E509" s="8">
        <f>IF(C509="","",C509-D509)</f>
        <v/>
      </c>
      <c r="F509" s="18">
        <f>IF(OR(B509="",C509=""),"",E509-B509)</f>
        <v/>
      </c>
      <c r="G509" s="20">
        <f>IF(OR(B509="",B509=0),"",F509/B509)</f>
        <v/>
      </c>
      <c r="H509" s="9" t="n"/>
    </row>
    <row r="510" ht="19.5" customHeight="1" s="49">
      <c r="A510" s="10" t="n"/>
      <c r="B510" s="25" t="n"/>
      <c r="C510" s="30" t="n"/>
      <c r="D510" s="11">
        <f>IF(C510="","",C510*$B$1)</f>
        <v/>
      </c>
      <c r="E510" s="12">
        <f>IF(C510="","",C510-D510)</f>
        <v/>
      </c>
      <c r="F510" s="19">
        <f>IF(OR(B510="",C510=""),"",E510-B510)</f>
        <v/>
      </c>
      <c r="G510" s="21">
        <f>IF(OR(B510="",B510=0),"",F510/B510)</f>
        <v/>
      </c>
      <c r="H510" s="13" t="n"/>
    </row>
    <row r="511" ht="19.5" customHeight="1" s="49">
      <c r="A511" s="6" t="n"/>
      <c r="B511" s="24" t="n"/>
      <c r="C511" s="29" t="n"/>
      <c r="D511" s="7">
        <f>IF(C511="","",C511*$B$1)</f>
        <v/>
      </c>
      <c r="E511" s="8">
        <f>IF(C511="","",C511-D511)</f>
        <v/>
      </c>
      <c r="F511" s="18">
        <f>IF(OR(B511="",C511=""),"",E511-B511)</f>
        <v/>
      </c>
      <c r="G511" s="20">
        <f>IF(OR(B511="",B511=0),"",F511/B511)</f>
        <v/>
      </c>
      <c r="H511" s="9" t="n"/>
    </row>
    <row r="512" ht="19.5" customHeight="1" s="49">
      <c r="A512" s="10" t="n"/>
      <c r="B512" s="25" t="n"/>
      <c r="C512" s="30" t="n"/>
      <c r="D512" s="11">
        <f>IF(C512="","",C512*$B$1)</f>
        <v/>
      </c>
      <c r="E512" s="12">
        <f>IF(C512="","",C512-D512)</f>
        <v/>
      </c>
      <c r="F512" s="19">
        <f>IF(OR(B512="",C512=""),"",E512-B512)</f>
        <v/>
      </c>
      <c r="G512" s="21">
        <f>IF(OR(B512="",B512=0),"",F512/B512)</f>
        <v/>
      </c>
      <c r="H512" s="13" t="n"/>
    </row>
    <row r="513" ht="19.5" customHeight="1" s="49">
      <c r="A513" s="6" t="n"/>
      <c r="B513" s="24" t="n"/>
      <c r="C513" s="29" t="n"/>
      <c r="D513" s="7">
        <f>IF(C513="","",C513*$B$1)</f>
        <v/>
      </c>
      <c r="E513" s="8">
        <f>IF(C513="","",C513-D513)</f>
        <v/>
      </c>
      <c r="F513" s="18">
        <f>IF(OR(B513="",C513=""),"",E513-B513)</f>
        <v/>
      </c>
      <c r="G513" s="20">
        <f>IF(OR(B513="",B513=0),"",F513/B513)</f>
        <v/>
      </c>
      <c r="H513" s="9" t="n"/>
    </row>
    <row r="514" ht="19.5" customHeight="1" s="49">
      <c r="A514" s="10" t="n"/>
      <c r="B514" s="25" t="n"/>
      <c r="C514" s="30" t="n"/>
      <c r="D514" s="11">
        <f>IF(C514="","",C514*$B$1)</f>
        <v/>
      </c>
      <c r="E514" s="12">
        <f>IF(C514="","",C514-D514)</f>
        <v/>
      </c>
      <c r="F514" s="19">
        <f>IF(OR(B514="",C514=""),"",E514-B514)</f>
        <v/>
      </c>
      <c r="G514" s="21">
        <f>IF(OR(B514="",B514=0),"",F514/B514)</f>
        <v/>
      </c>
      <c r="H514" s="13" t="n"/>
    </row>
    <row r="515" ht="19.5" customHeight="1" s="49">
      <c r="A515" s="6" t="n"/>
      <c r="B515" s="24" t="n"/>
      <c r="C515" s="29" t="n"/>
      <c r="D515" s="7">
        <f>IF(C515="","",C515*$B$1)</f>
        <v/>
      </c>
      <c r="E515" s="8">
        <f>IF(C515="","",C515-D515)</f>
        <v/>
      </c>
      <c r="F515" s="18">
        <f>IF(OR(B515="",C515=""),"",E515-B515)</f>
        <v/>
      </c>
      <c r="G515" s="20">
        <f>IF(OR(B515="",B515=0),"",F515/B515)</f>
        <v/>
      </c>
      <c r="H515" s="9" t="n"/>
    </row>
    <row r="516" ht="19.5" customHeight="1" s="49">
      <c r="A516" s="10" t="n"/>
      <c r="B516" s="25" t="n"/>
      <c r="C516" s="30" t="n"/>
      <c r="D516" s="11">
        <f>IF(C516="","",C516*$B$1)</f>
        <v/>
      </c>
      <c r="E516" s="12">
        <f>IF(C516="","",C516-D516)</f>
        <v/>
      </c>
      <c r="F516" s="19">
        <f>IF(OR(B516="",C516=""),"",E516-B516)</f>
        <v/>
      </c>
      <c r="G516" s="21">
        <f>IF(OR(B516="",B516=0),"",F516/B516)</f>
        <v/>
      </c>
      <c r="H516" s="13" t="n"/>
    </row>
    <row r="517" ht="19.5" customHeight="1" s="49">
      <c r="A517" s="6" t="n"/>
      <c r="B517" s="24" t="n"/>
      <c r="C517" s="29" t="n"/>
      <c r="D517" s="7">
        <f>IF(C517="","",C517*$B$1)</f>
        <v/>
      </c>
      <c r="E517" s="8">
        <f>IF(C517="","",C517-D517)</f>
        <v/>
      </c>
      <c r="F517" s="18">
        <f>IF(OR(B517="",C517=""),"",E517-B517)</f>
        <v/>
      </c>
      <c r="G517" s="20">
        <f>IF(OR(B517="",B517=0),"",F517/B517)</f>
        <v/>
      </c>
      <c r="H517" s="9" t="n"/>
    </row>
    <row r="518" ht="19.5" customHeight="1" s="49">
      <c r="A518" s="10" t="n"/>
      <c r="B518" s="25" t="n"/>
      <c r="C518" s="30" t="n"/>
      <c r="D518" s="11">
        <f>IF(C518="","",C518*$B$1)</f>
        <v/>
      </c>
      <c r="E518" s="12">
        <f>IF(C518="","",C518-D518)</f>
        <v/>
      </c>
      <c r="F518" s="19">
        <f>IF(OR(B518="",C518=""),"",E518-B518)</f>
        <v/>
      </c>
      <c r="G518" s="21">
        <f>IF(OR(B518="",B518=0),"",F518/B518)</f>
        <v/>
      </c>
      <c r="H518" s="13" t="n"/>
    </row>
    <row r="519" ht="19.5" customHeight="1" s="49">
      <c r="A519" s="6" t="n"/>
      <c r="B519" s="24" t="n"/>
      <c r="C519" s="29" t="n"/>
      <c r="D519" s="7">
        <f>IF(C519="","",C519*$B$1)</f>
        <v/>
      </c>
      <c r="E519" s="8">
        <f>IF(C519="","",C519-D519)</f>
        <v/>
      </c>
      <c r="F519" s="18">
        <f>IF(OR(B519="",C519=""),"",E519-B519)</f>
        <v/>
      </c>
      <c r="G519" s="20">
        <f>IF(OR(B519="",B519=0),"",F519/B519)</f>
        <v/>
      </c>
      <c r="H519" s="9" t="n"/>
    </row>
    <row r="520" ht="19.5" customHeight="1" s="49">
      <c r="A520" s="10" t="n"/>
      <c r="B520" s="25" t="n"/>
      <c r="C520" s="30" t="n"/>
      <c r="D520" s="11">
        <f>IF(C520="","",C520*$B$1)</f>
        <v/>
      </c>
      <c r="E520" s="12">
        <f>IF(C520="","",C520-D520)</f>
        <v/>
      </c>
      <c r="F520" s="19">
        <f>IF(OR(B520="",C520=""),"",E520-B520)</f>
        <v/>
      </c>
      <c r="G520" s="21">
        <f>IF(OR(B520="",B520=0),"",F520/B520)</f>
        <v/>
      </c>
      <c r="H520" s="13" t="n"/>
    </row>
    <row r="521" ht="19.5" customHeight="1" s="49">
      <c r="A521" s="6" t="n"/>
      <c r="B521" s="24" t="n"/>
      <c r="C521" s="29" t="n"/>
      <c r="D521" s="7">
        <f>IF(C521="","",C521*$B$1)</f>
        <v/>
      </c>
      <c r="E521" s="8">
        <f>IF(C521="","",C521-D521)</f>
        <v/>
      </c>
      <c r="F521" s="18">
        <f>IF(OR(B521="",C521=""),"",E521-B521)</f>
        <v/>
      </c>
      <c r="G521" s="20">
        <f>IF(OR(B521="",B521=0),"",F521/B521)</f>
        <v/>
      </c>
      <c r="H521" s="9" t="n"/>
    </row>
    <row r="522" ht="19.5" customHeight="1" s="49">
      <c r="A522" s="10" t="n"/>
      <c r="B522" s="25" t="n"/>
      <c r="C522" s="30" t="n"/>
      <c r="D522" s="11">
        <f>IF(C522="","",C522*$B$1)</f>
        <v/>
      </c>
      <c r="E522" s="12">
        <f>IF(C522="","",C522-D522)</f>
        <v/>
      </c>
      <c r="F522" s="19">
        <f>IF(OR(B522="",C522=""),"",E522-B522)</f>
        <v/>
      </c>
      <c r="G522" s="21">
        <f>IF(OR(B522="",B522=0),"",F522/B522)</f>
        <v/>
      </c>
      <c r="H522" s="13" t="n"/>
    </row>
    <row r="523" ht="19.5" customHeight="1" s="49">
      <c r="A523" s="6" t="n"/>
      <c r="B523" s="24" t="n"/>
      <c r="C523" s="29" t="n"/>
      <c r="D523" s="7">
        <f>IF(C523="","",C523*$B$1)</f>
        <v/>
      </c>
      <c r="E523" s="8">
        <f>IF(C523="","",C523-D523)</f>
        <v/>
      </c>
      <c r="F523" s="18">
        <f>IF(OR(B523="",C523=""),"",E523-B523)</f>
        <v/>
      </c>
      <c r="G523" s="20">
        <f>IF(OR(B523="",B523=0),"",F523/B523)</f>
        <v/>
      </c>
      <c r="H523" s="9" t="n"/>
    </row>
    <row r="524" ht="19.5" customHeight="1" s="49">
      <c r="A524" s="10" t="n"/>
      <c r="B524" s="25" t="n"/>
      <c r="C524" s="30" t="n"/>
      <c r="D524" s="11">
        <f>IF(C524="","",C524*$B$1)</f>
        <v/>
      </c>
      <c r="E524" s="12">
        <f>IF(C524="","",C524-D524)</f>
        <v/>
      </c>
      <c r="F524" s="19">
        <f>IF(OR(B524="",C524=""),"",E524-B524)</f>
        <v/>
      </c>
      <c r="G524" s="21">
        <f>IF(OR(B524="",B524=0),"",F524/B524)</f>
        <v/>
      </c>
      <c r="H524" s="13" t="n"/>
    </row>
    <row r="525" ht="19.5" customHeight="1" s="49">
      <c r="A525" s="6" t="n"/>
      <c r="B525" s="24" t="n"/>
      <c r="C525" s="29" t="n"/>
      <c r="D525" s="7">
        <f>IF(C525="","",C525*$B$1)</f>
        <v/>
      </c>
      <c r="E525" s="8">
        <f>IF(C525="","",C525-D525)</f>
        <v/>
      </c>
      <c r="F525" s="18">
        <f>IF(OR(B525="",C525=""),"",E525-B525)</f>
        <v/>
      </c>
      <c r="G525" s="20">
        <f>IF(OR(B525="",B525=0),"",F525/B525)</f>
        <v/>
      </c>
      <c r="H525" s="9" t="n"/>
    </row>
    <row r="526" ht="19.5" customHeight="1" s="49">
      <c r="A526" s="10" t="n"/>
      <c r="B526" s="25" t="n"/>
      <c r="C526" s="30" t="n"/>
      <c r="D526" s="11">
        <f>IF(C526="","",C526*$B$1)</f>
        <v/>
      </c>
      <c r="E526" s="12">
        <f>IF(C526="","",C526-D526)</f>
        <v/>
      </c>
      <c r="F526" s="19">
        <f>IF(OR(B526="",C526=""),"",E526-B526)</f>
        <v/>
      </c>
      <c r="G526" s="21">
        <f>IF(OR(B526="",B526=0),"",F526/B526)</f>
        <v/>
      </c>
      <c r="H526" s="13" t="n"/>
    </row>
    <row r="527" ht="19.5" customHeight="1" s="49">
      <c r="A527" s="6" t="n"/>
      <c r="B527" s="24" t="n"/>
      <c r="C527" s="29" t="n"/>
      <c r="D527" s="7">
        <f>IF(C527="","",C527*$B$1)</f>
        <v/>
      </c>
      <c r="E527" s="8">
        <f>IF(C527="","",C527-D527)</f>
        <v/>
      </c>
      <c r="F527" s="18">
        <f>IF(OR(B527="",C527=""),"",E527-B527)</f>
        <v/>
      </c>
      <c r="G527" s="20">
        <f>IF(OR(B527="",B527=0),"",F527/B527)</f>
        <v/>
      </c>
      <c r="H527" s="9" t="n"/>
    </row>
    <row r="528" ht="19.5" customHeight="1" s="49">
      <c r="A528" s="10" t="n"/>
      <c r="B528" s="25" t="n"/>
      <c r="C528" s="30" t="n"/>
      <c r="D528" s="11">
        <f>IF(C528="","",C528*$B$1)</f>
        <v/>
      </c>
      <c r="E528" s="12">
        <f>IF(C528="","",C528-D528)</f>
        <v/>
      </c>
      <c r="F528" s="19">
        <f>IF(OR(B528="",C528=""),"",E528-B528)</f>
        <v/>
      </c>
      <c r="G528" s="21">
        <f>IF(OR(B528="",B528=0),"",F528/B528)</f>
        <v/>
      </c>
      <c r="H528" s="13" t="n"/>
    </row>
    <row r="529" ht="19.5" customHeight="1" s="49">
      <c r="A529" s="6" t="n"/>
      <c r="B529" s="24" t="n"/>
      <c r="C529" s="29" t="n"/>
      <c r="D529" s="7">
        <f>IF(C529="","",C529*$B$1)</f>
        <v/>
      </c>
      <c r="E529" s="8">
        <f>IF(C529="","",C529-D529)</f>
        <v/>
      </c>
      <c r="F529" s="18">
        <f>IF(OR(B529="",C529=""),"",E529-B529)</f>
        <v/>
      </c>
      <c r="G529" s="20">
        <f>IF(OR(B529="",B529=0),"",F529/B529)</f>
        <v/>
      </c>
      <c r="H529" s="9" t="n"/>
    </row>
    <row r="530" ht="19.5" customHeight="1" s="49">
      <c r="A530" s="10" t="n"/>
      <c r="B530" s="25" t="n"/>
      <c r="C530" s="30" t="n"/>
      <c r="D530" s="11">
        <f>IF(C530="","",C530*$B$1)</f>
        <v/>
      </c>
      <c r="E530" s="12">
        <f>IF(C530="","",C530-D530)</f>
        <v/>
      </c>
      <c r="F530" s="19">
        <f>IF(OR(B530="",C530=""),"",E530-B530)</f>
        <v/>
      </c>
      <c r="G530" s="21">
        <f>IF(OR(B530="",B530=0),"",F530/B530)</f>
        <v/>
      </c>
      <c r="H530" s="13" t="n"/>
    </row>
    <row r="531" ht="19.5" customHeight="1" s="49">
      <c r="A531" s="6" t="n"/>
      <c r="B531" s="24" t="n"/>
      <c r="C531" s="29" t="n"/>
      <c r="D531" s="7">
        <f>IF(C531="","",C531*$B$1)</f>
        <v/>
      </c>
      <c r="E531" s="8">
        <f>IF(C531="","",C531-D531)</f>
        <v/>
      </c>
      <c r="F531" s="18">
        <f>IF(OR(B531="",C531=""),"",E531-B531)</f>
        <v/>
      </c>
      <c r="G531" s="20">
        <f>IF(OR(B531="",B531=0),"",F531/B531)</f>
        <v/>
      </c>
      <c r="H531" s="9" t="n"/>
    </row>
    <row r="532" ht="19.5" customHeight="1" s="49">
      <c r="A532" s="10" t="n"/>
      <c r="B532" s="25" t="n"/>
      <c r="C532" s="30" t="n"/>
      <c r="D532" s="11">
        <f>IF(C532="","",C532*$B$1)</f>
        <v/>
      </c>
      <c r="E532" s="12">
        <f>IF(C532="","",C532-D532)</f>
        <v/>
      </c>
      <c r="F532" s="19">
        <f>IF(OR(B532="",C532=""),"",E532-B532)</f>
        <v/>
      </c>
      <c r="G532" s="21">
        <f>IF(OR(B532="",B532=0),"",F532/B532)</f>
        <v/>
      </c>
      <c r="H532" s="13" t="n"/>
    </row>
    <row r="533" ht="19.5" customHeight="1" s="49">
      <c r="A533" s="6" t="n"/>
      <c r="B533" s="24" t="n"/>
      <c r="C533" s="29" t="n"/>
      <c r="D533" s="7">
        <f>IF(C533="","",C533*$B$1)</f>
        <v/>
      </c>
      <c r="E533" s="8">
        <f>IF(C533="","",C533-D533)</f>
        <v/>
      </c>
      <c r="F533" s="18">
        <f>IF(OR(B533="",C533=""),"",E533-B533)</f>
        <v/>
      </c>
      <c r="G533" s="20">
        <f>IF(OR(B533="",B533=0),"",F533/B533)</f>
        <v/>
      </c>
      <c r="H533" s="9" t="n"/>
    </row>
    <row r="534" ht="19.5" customHeight="1" s="49">
      <c r="A534" s="10" t="n"/>
      <c r="B534" s="25" t="n"/>
      <c r="C534" s="30" t="n"/>
      <c r="D534" s="11">
        <f>IF(C534="","",C534*$B$1)</f>
        <v/>
      </c>
      <c r="E534" s="12">
        <f>IF(C534="","",C534-D534)</f>
        <v/>
      </c>
      <c r="F534" s="19">
        <f>IF(OR(B534="",C534=""),"",E534-B534)</f>
        <v/>
      </c>
      <c r="G534" s="21">
        <f>IF(OR(B534="",B534=0),"",F534/B534)</f>
        <v/>
      </c>
      <c r="H534" s="13" t="n"/>
    </row>
    <row r="535" ht="19.5" customHeight="1" s="49">
      <c r="A535" s="6" t="n"/>
      <c r="B535" s="24" t="n"/>
      <c r="C535" s="29" t="n"/>
      <c r="D535" s="7">
        <f>IF(C535="","",C535*$B$1)</f>
        <v/>
      </c>
      <c r="E535" s="8">
        <f>IF(C535="","",C535-D535)</f>
        <v/>
      </c>
      <c r="F535" s="18">
        <f>IF(OR(B535="",C535=""),"",E535-B535)</f>
        <v/>
      </c>
      <c r="G535" s="20">
        <f>IF(OR(B535="",B535=0),"",F535/B535)</f>
        <v/>
      </c>
      <c r="H535" s="9" t="n"/>
    </row>
    <row r="536" ht="19.5" customHeight="1" s="49">
      <c r="A536" s="10" t="n"/>
      <c r="B536" s="25" t="n"/>
      <c r="C536" s="30" t="n"/>
      <c r="D536" s="11">
        <f>IF(C536="","",C536*$B$1)</f>
        <v/>
      </c>
      <c r="E536" s="12">
        <f>IF(C536="","",C536-D536)</f>
        <v/>
      </c>
      <c r="F536" s="19">
        <f>IF(OR(B536="",C536=""),"",E536-B536)</f>
        <v/>
      </c>
      <c r="G536" s="21">
        <f>IF(OR(B536="",B536=0),"",F536/B536)</f>
        <v/>
      </c>
      <c r="H536" s="13" t="n"/>
    </row>
    <row r="537" ht="19.5" customHeight="1" s="49">
      <c r="A537" s="6" t="n"/>
      <c r="B537" s="24" t="n"/>
      <c r="C537" s="29" t="n"/>
      <c r="D537" s="7">
        <f>IF(C537="","",C537*$B$1)</f>
        <v/>
      </c>
      <c r="E537" s="8">
        <f>IF(C537="","",C537-D537)</f>
        <v/>
      </c>
      <c r="F537" s="18">
        <f>IF(OR(B537="",C537=""),"",E537-B537)</f>
        <v/>
      </c>
      <c r="G537" s="20">
        <f>IF(OR(B537="",B537=0),"",F537/B537)</f>
        <v/>
      </c>
      <c r="H537" s="9" t="n"/>
    </row>
    <row r="538" ht="19.5" customHeight="1" s="49">
      <c r="A538" s="10" t="n"/>
      <c r="B538" s="25" t="n"/>
      <c r="C538" s="30" t="n"/>
      <c r="D538" s="11">
        <f>IF(C538="","",C538*$B$1)</f>
        <v/>
      </c>
      <c r="E538" s="12">
        <f>IF(C538="","",C538-D538)</f>
        <v/>
      </c>
      <c r="F538" s="19">
        <f>IF(OR(B538="",C538=""),"",E538-B538)</f>
        <v/>
      </c>
      <c r="G538" s="21">
        <f>IF(OR(B538="",B538=0),"",F538/B538)</f>
        <v/>
      </c>
      <c r="H538" s="13" t="n"/>
    </row>
    <row r="539" ht="19.5" customHeight="1" s="49">
      <c r="A539" s="6" t="n"/>
      <c r="B539" s="24" t="n"/>
      <c r="C539" s="29" t="n"/>
      <c r="D539" s="7">
        <f>IF(C539="","",C539*$B$1)</f>
        <v/>
      </c>
      <c r="E539" s="8">
        <f>IF(C539="","",C539-D539)</f>
        <v/>
      </c>
      <c r="F539" s="18">
        <f>IF(OR(B539="",C539=""),"",E539-B539)</f>
        <v/>
      </c>
      <c r="G539" s="20">
        <f>IF(OR(B539="",B539=0),"",F539/B539)</f>
        <v/>
      </c>
      <c r="H539" s="9" t="n"/>
    </row>
    <row r="540" ht="19.5" customHeight="1" s="49">
      <c r="A540" s="10" t="n"/>
      <c r="B540" s="25" t="n"/>
      <c r="C540" s="30" t="n"/>
      <c r="D540" s="11">
        <f>IF(C540="","",C540*$B$1)</f>
        <v/>
      </c>
      <c r="E540" s="12">
        <f>IF(C540="","",C540-D540)</f>
        <v/>
      </c>
      <c r="F540" s="19">
        <f>IF(OR(B540="",C540=""),"",E540-B540)</f>
        <v/>
      </c>
      <c r="G540" s="21">
        <f>IF(OR(B540="",B540=0),"",F540/B540)</f>
        <v/>
      </c>
      <c r="H540" s="13" t="n"/>
    </row>
    <row r="541" ht="19.5" customHeight="1" s="49">
      <c r="A541" s="6" t="n"/>
      <c r="B541" s="24" t="n"/>
      <c r="C541" s="29" t="n"/>
      <c r="D541" s="7">
        <f>IF(C541="","",C541*$B$1)</f>
        <v/>
      </c>
      <c r="E541" s="8">
        <f>IF(C541="","",C541-D541)</f>
        <v/>
      </c>
      <c r="F541" s="18">
        <f>IF(OR(B541="",C541=""),"",E541-B541)</f>
        <v/>
      </c>
      <c r="G541" s="20">
        <f>IF(OR(B541="",B541=0),"",F541/B541)</f>
        <v/>
      </c>
      <c r="H541" s="9" t="n"/>
    </row>
    <row r="542" ht="19.5" customHeight="1" s="49">
      <c r="A542" s="10" t="n"/>
      <c r="B542" s="25" t="n"/>
      <c r="C542" s="30" t="n"/>
      <c r="D542" s="11">
        <f>IF(C542="","",C542*$B$1)</f>
        <v/>
      </c>
      <c r="E542" s="12">
        <f>IF(C542="","",C542-D542)</f>
        <v/>
      </c>
      <c r="F542" s="19">
        <f>IF(OR(B542="",C542=""),"",E542-B542)</f>
        <v/>
      </c>
      <c r="G542" s="21">
        <f>IF(OR(B542="",B542=0),"",F542/B542)</f>
        <v/>
      </c>
      <c r="H542" s="13" t="n"/>
    </row>
    <row r="543" ht="19.5" customHeight="1" s="49">
      <c r="A543" s="6" t="n"/>
      <c r="B543" s="24" t="n"/>
      <c r="C543" s="29" t="n"/>
      <c r="D543" s="7">
        <f>IF(C543="","",C543*$B$1)</f>
        <v/>
      </c>
      <c r="E543" s="8">
        <f>IF(C543="","",C543-D543)</f>
        <v/>
      </c>
      <c r="F543" s="18">
        <f>IF(OR(B543="",C543=""),"",E543-B543)</f>
        <v/>
      </c>
      <c r="G543" s="20">
        <f>IF(OR(B543="",B543=0),"",F543/B543)</f>
        <v/>
      </c>
      <c r="H543" s="9" t="n"/>
    </row>
    <row r="544" ht="19.5" customHeight="1" s="49">
      <c r="A544" s="10" t="n"/>
      <c r="B544" s="25" t="n"/>
      <c r="C544" s="30" t="n"/>
      <c r="D544" s="11">
        <f>IF(C544="","",C544*$B$1)</f>
        <v/>
      </c>
      <c r="E544" s="12">
        <f>IF(C544="","",C544-D544)</f>
        <v/>
      </c>
      <c r="F544" s="19">
        <f>IF(OR(B544="",C544=""),"",E544-B544)</f>
        <v/>
      </c>
      <c r="G544" s="21">
        <f>IF(OR(B544="",B544=0),"",F544/B544)</f>
        <v/>
      </c>
      <c r="H544" s="13" t="n"/>
    </row>
    <row r="545" ht="19.5" customHeight="1" s="49">
      <c r="A545" s="6" t="n"/>
      <c r="B545" s="24" t="n"/>
      <c r="C545" s="29" t="n"/>
      <c r="D545" s="7">
        <f>IF(C545="","",C545*$B$1)</f>
        <v/>
      </c>
      <c r="E545" s="8">
        <f>IF(C545="","",C545-D545)</f>
        <v/>
      </c>
      <c r="F545" s="18">
        <f>IF(OR(B545="",C545=""),"",E545-B545)</f>
        <v/>
      </c>
      <c r="G545" s="20">
        <f>IF(OR(B545="",B545=0),"",F545/B545)</f>
        <v/>
      </c>
      <c r="H545" s="9" t="n"/>
    </row>
    <row r="546" ht="19.5" customHeight="1" s="49">
      <c r="A546" s="10" t="n"/>
      <c r="B546" s="25" t="n"/>
      <c r="C546" s="30" t="n"/>
      <c r="D546" s="11">
        <f>IF(C546="","",C546*$B$1)</f>
        <v/>
      </c>
      <c r="E546" s="12">
        <f>IF(C546="","",C546-D546)</f>
        <v/>
      </c>
      <c r="F546" s="19">
        <f>IF(OR(B546="",C546=""),"",E546-B546)</f>
        <v/>
      </c>
      <c r="G546" s="21">
        <f>IF(OR(B546="",B546=0),"",F546/B546)</f>
        <v/>
      </c>
      <c r="H546" s="13" t="n"/>
    </row>
    <row r="547" ht="19.5" customHeight="1" s="49">
      <c r="A547" s="6" t="n"/>
      <c r="B547" s="24" t="n"/>
      <c r="C547" s="29" t="n"/>
      <c r="D547" s="7">
        <f>IF(C547="","",C547*$B$1)</f>
        <v/>
      </c>
      <c r="E547" s="8">
        <f>IF(C547="","",C547-D547)</f>
        <v/>
      </c>
      <c r="F547" s="18">
        <f>IF(OR(B547="",C547=""),"",E547-B547)</f>
        <v/>
      </c>
      <c r="G547" s="20">
        <f>IF(OR(B547="",B547=0),"",F547/B547)</f>
        <v/>
      </c>
      <c r="H547" s="9" t="n"/>
    </row>
    <row r="548" ht="19.5" customHeight="1" s="49">
      <c r="A548" s="10" t="n"/>
      <c r="B548" s="25" t="n"/>
      <c r="C548" s="30" t="n"/>
      <c r="D548" s="11">
        <f>IF(C548="","",C548*$B$1)</f>
        <v/>
      </c>
      <c r="E548" s="12">
        <f>IF(C548="","",C548-D548)</f>
        <v/>
      </c>
      <c r="F548" s="19">
        <f>IF(OR(B548="",C548=""),"",E548-B548)</f>
        <v/>
      </c>
      <c r="G548" s="21">
        <f>IF(OR(B548="",B548=0),"",F548/B548)</f>
        <v/>
      </c>
      <c r="H548" s="13" t="n"/>
    </row>
    <row r="549" ht="19.5" customHeight="1" s="49">
      <c r="A549" s="6" t="n"/>
      <c r="B549" s="24" t="n"/>
      <c r="C549" s="29" t="n"/>
      <c r="D549" s="7">
        <f>IF(C549="","",C549*$B$1)</f>
        <v/>
      </c>
      <c r="E549" s="8">
        <f>IF(C549="","",C549-D549)</f>
        <v/>
      </c>
      <c r="F549" s="18">
        <f>IF(OR(B549="",C549=""),"",E549-B549)</f>
        <v/>
      </c>
      <c r="G549" s="20">
        <f>IF(OR(B549="",B549=0),"",F549/B549)</f>
        <v/>
      </c>
      <c r="H549" s="9" t="n"/>
    </row>
    <row r="550" ht="19.5" customHeight="1" s="49">
      <c r="A550" s="10" t="n"/>
      <c r="B550" s="25" t="n"/>
      <c r="C550" s="30" t="n"/>
      <c r="D550" s="11">
        <f>IF(C550="","",C550*$B$1)</f>
        <v/>
      </c>
      <c r="E550" s="12">
        <f>IF(C550="","",C550-D550)</f>
        <v/>
      </c>
      <c r="F550" s="19">
        <f>IF(OR(B550="",C550=""),"",E550-B550)</f>
        <v/>
      </c>
      <c r="G550" s="21">
        <f>IF(OR(B550="",B550=0),"",F550/B550)</f>
        <v/>
      </c>
      <c r="H550" s="13" t="n"/>
    </row>
    <row r="551" ht="19.5" customHeight="1" s="49">
      <c r="A551" s="6" t="n"/>
      <c r="B551" s="24" t="n"/>
      <c r="C551" s="29" t="n"/>
      <c r="D551" s="7">
        <f>IF(C551="","",C551*$B$1)</f>
        <v/>
      </c>
      <c r="E551" s="8">
        <f>IF(C551="","",C551-D551)</f>
        <v/>
      </c>
      <c r="F551" s="18">
        <f>IF(OR(B551="",C551=""),"",E551-B551)</f>
        <v/>
      </c>
      <c r="G551" s="20">
        <f>IF(OR(B551="",B551=0),"",F551/B551)</f>
        <v/>
      </c>
      <c r="H551" s="9" t="n"/>
    </row>
    <row r="552" ht="19.5" customHeight="1" s="49">
      <c r="A552" s="10" t="n"/>
      <c r="B552" s="25" t="n"/>
      <c r="C552" s="30" t="n"/>
      <c r="D552" s="11">
        <f>IF(C552="","",C552*$B$1)</f>
        <v/>
      </c>
      <c r="E552" s="12">
        <f>IF(C552="","",C552-D552)</f>
        <v/>
      </c>
      <c r="F552" s="19">
        <f>IF(OR(B552="",C552=""),"",E552-B552)</f>
        <v/>
      </c>
      <c r="G552" s="21">
        <f>IF(OR(B552="",B552=0),"",F552/B552)</f>
        <v/>
      </c>
      <c r="H552" s="13" t="n"/>
    </row>
    <row r="553" ht="19.5" customHeight="1" s="49">
      <c r="A553" s="6" t="n"/>
      <c r="B553" s="24" t="n"/>
      <c r="C553" s="29" t="n"/>
      <c r="D553" s="7">
        <f>IF(C553="","",C553*$B$1)</f>
        <v/>
      </c>
      <c r="E553" s="8">
        <f>IF(C553="","",C553-D553)</f>
        <v/>
      </c>
      <c r="F553" s="18">
        <f>IF(OR(B553="",C553=""),"",E553-B553)</f>
        <v/>
      </c>
      <c r="G553" s="20">
        <f>IF(OR(B553="",B553=0),"",F553/B553)</f>
        <v/>
      </c>
      <c r="H553" s="9" t="n"/>
    </row>
    <row r="554" ht="19.5" customHeight="1" s="49">
      <c r="A554" s="10" t="n"/>
      <c r="B554" s="25" t="n"/>
      <c r="C554" s="30" t="n"/>
      <c r="D554" s="11">
        <f>IF(C554="","",C554*$B$1)</f>
        <v/>
      </c>
      <c r="E554" s="12">
        <f>IF(C554="","",C554-D554)</f>
        <v/>
      </c>
      <c r="F554" s="19">
        <f>IF(OR(B554="",C554=""),"",E554-B554)</f>
        <v/>
      </c>
      <c r="G554" s="21">
        <f>IF(OR(B554="",B554=0),"",F554/B554)</f>
        <v/>
      </c>
      <c r="H554" s="13" t="n"/>
    </row>
    <row r="555" ht="19.5" customHeight="1" s="49">
      <c r="A555" s="6" t="n"/>
      <c r="B555" s="24" t="n"/>
      <c r="C555" s="29" t="n"/>
      <c r="D555" s="7">
        <f>IF(C555="","",C555*$B$1)</f>
        <v/>
      </c>
      <c r="E555" s="8">
        <f>IF(C555="","",C555-D555)</f>
        <v/>
      </c>
      <c r="F555" s="18">
        <f>IF(OR(B555="",C555=""),"",E555-B555)</f>
        <v/>
      </c>
      <c r="G555" s="20">
        <f>IF(OR(B555="",B555=0),"",F555/B555)</f>
        <v/>
      </c>
      <c r="H555" s="9" t="n"/>
    </row>
    <row r="556" ht="19.5" customHeight="1" s="49">
      <c r="A556" s="10" t="n"/>
      <c r="B556" s="25" t="n"/>
      <c r="C556" s="30" t="n"/>
      <c r="D556" s="11">
        <f>IF(C556="","",C556*$B$1)</f>
        <v/>
      </c>
      <c r="E556" s="12">
        <f>IF(C556="","",C556-D556)</f>
        <v/>
      </c>
      <c r="F556" s="19">
        <f>IF(OR(B556="",C556=""),"",E556-B556)</f>
        <v/>
      </c>
      <c r="G556" s="21">
        <f>IF(OR(B556="",B556=0),"",F556/B556)</f>
        <v/>
      </c>
      <c r="H556" s="13" t="n"/>
    </row>
    <row r="557" ht="19.5" customHeight="1" s="49">
      <c r="A557" s="6" t="n"/>
      <c r="B557" s="24" t="n"/>
      <c r="C557" s="29" t="n"/>
      <c r="D557" s="7">
        <f>IF(C557="","",C557*$B$1)</f>
        <v/>
      </c>
      <c r="E557" s="8">
        <f>IF(C557="","",C557-D557)</f>
        <v/>
      </c>
      <c r="F557" s="18">
        <f>IF(OR(B557="",C557=""),"",E557-B557)</f>
        <v/>
      </c>
      <c r="G557" s="20">
        <f>IF(OR(B557="",B557=0),"",F557/B557)</f>
        <v/>
      </c>
      <c r="H557" s="9" t="n"/>
    </row>
    <row r="558" ht="19.5" customHeight="1" s="49">
      <c r="A558" s="10" t="n"/>
      <c r="B558" s="25" t="n"/>
      <c r="C558" s="30" t="n"/>
      <c r="D558" s="11">
        <f>IF(C558="","",C558*$B$1)</f>
        <v/>
      </c>
      <c r="E558" s="12">
        <f>IF(C558="","",C558-D558)</f>
        <v/>
      </c>
      <c r="F558" s="19">
        <f>IF(OR(B558="",C558=""),"",E558-B558)</f>
        <v/>
      </c>
      <c r="G558" s="21">
        <f>IF(OR(B558="",B558=0),"",F558/B558)</f>
        <v/>
      </c>
      <c r="H558" s="13" t="n"/>
    </row>
    <row r="559" ht="19.5" customHeight="1" s="49">
      <c r="A559" s="6" t="n"/>
      <c r="B559" s="24" t="n"/>
      <c r="C559" s="29" t="n"/>
      <c r="D559" s="7">
        <f>IF(C559="","",C559*$B$1)</f>
        <v/>
      </c>
      <c r="E559" s="8">
        <f>IF(C559="","",C559-D559)</f>
        <v/>
      </c>
      <c r="F559" s="18">
        <f>IF(OR(B559="",C559=""),"",E559-B559)</f>
        <v/>
      </c>
      <c r="G559" s="20">
        <f>IF(OR(B559="",B559=0),"",F559/B559)</f>
        <v/>
      </c>
      <c r="H559" s="9" t="n"/>
    </row>
    <row r="560" ht="19.5" customHeight="1" s="49">
      <c r="A560" s="10" t="n"/>
      <c r="B560" s="25" t="n"/>
      <c r="C560" s="30" t="n"/>
      <c r="D560" s="11">
        <f>IF(C560="","",C560*$B$1)</f>
        <v/>
      </c>
      <c r="E560" s="12">
        <f>IF(C560="","",C560-D560)</f>
        <v/>
      </c>
      <c r="F560" s="19">
        <f>IF(OR(B560="",C560=""),"",E560-B560)</f>
        <v/>
      </c>
      <c r="G560" s="21">
        <f>IF(OR(B560="",B560=0),"",F560/B560)</f>
        <v/>
      </c>
      <c r="H560" s="13" t="n"/>
    </row>
    <row r="561" ht="19.5" customHeight="1" s="49">
      <c r="A561" s="6" t="n"/>
      <c r="B561" s="24" t="n"/>
      <c r="C561" s="29" t="n"/>
      <c r="D561" s="7">
        <f>IF(C561="","",C561*$B$1)</f>
        <v/>
      </c>
      <c r="E561" s="8">
        <f>IF(C561="","",C561-D561)</f>
        <v/>
      </c>
      <c r="F561" s="18">
        <f>IF(OR(B561="",C561=""),"",E561-B561)</f>
        <v/>
      </c>
      <c r="G561" s="20">
        <f>IF(OR(B561="",B561=0),"",F561/B561)</f>
        <v/>
      </c>
      <c r="H561" s="9" t="n"/>
    </row>
    <row r="562" ht="19.5" customHeight="1" s="49">
      <c r="A562" s="10" t="n"/>
      <c r="B562" s="25" t="n"/>
      <c r="C562" s="30" t="n"/>
      <c r="D562" s="11">
        <f>IF(C562="","",C562*$B$1)</f>
        <v/>
      </c>
      <c r="E562" s="12">
        <f>IF(C562="","",C562-D562)</f>
        <v/>
      </c>
      <c r="F562" s="19">
        <f>IF(OR(B562="",C562=""),"",E562-B562)</f>
        <v/>
      </c>
      <c r="G562" s="21">
        <f>IF(OR(B562="",B562=0),"",F562/B562)</f>
        <v/>
      </c>
      <c r="H562" s="13" t="n"/>
    </row>
    <row r="563" ht="19.5" customHeight="1" s="49">
      <c r="A563" s="6" t="n"/>
      <c r="B563" s="24" t="n"/>
      <c r="C563" s="29" t="n"/>
      <c r="D563" s="7">
        <f>IF(C563="","",C563*$B$1)</f>
        <v/>
      </c>
      <c r="E563" s="8">
        <f>IF(C563="","",C563-D563)</f>
        <v/>
      </c>
      <c r="F563" s="18">
        <f>IF(OR(B563="",C563=""),"",E563-B563)</f>
        <v/>
      </c>
      <c r="G563" s="20">
        <f>IF(OR(B563="",B563=0),"",F563/B563)</f>
        <v/>
      </c>
      <c r="H563" s="9" t="n"/>
    </row>
    <row r="564" ht="19.5" customHeight="1" s="49">
      <c r="A564" s="10" t="n"/>
      <c r="B564" s="25" t="n"/>
      <c r="C564" s="30" t="n"/>
      <c r="D564" s="11">
        <f>IF(C564="","",C564*$B$1)</f>
        <v/>
      </c>
      <c r="E564" s="12">
        <f>IF(C564="","",C564-D564)</f>
        <v/>
      </c>
      <c r="F564" s="19">
        <f>IF(OR(B564="",C564=""),"",E564-B564)</f>
        <v/>
      </c>
      <c r="G564" s="21">
        <f>IF(OR(B564="",B564=0),"",F564/B564)</f>
        <v/>
      </c>
      <c r="H564" s="13" t="n"/>
    </row>
    <row r="565" ht="19.5" customHeight="1" s="49">
      <c r="A565" s="6" t="n"/>
      <c r="B565" s="24" t="n"/>
      <c r="C565" s="29" t="n"/>
      <c r="D565" s="7">
        <f>IF(C565="","",C565*$B$1)</f>
        <v/>
      </c>
      <c r="E565" s="8">
        <f>IF(C565="","",C565-D565)</f>
        <v/>
      </c>
      <c r="F565" s="18">
        <f>IF(OR(B565="",C565=""),"",E565-B565)</f>
        <v/>
      </c>
      <c r="G565" s="20">
        <f>IF(OR(B565="",B565=0),"",F565/B565)</f>
        <v/>
      </c>
      <c r="H565" s="9" t="n"/>
    </row>
    <row r="566" ht="19.5" customHeight="1" s="49">
      <c r="A566" s="10" t="n"/>
      <c r="B566" s="25" t="n"/>
      <c r="C566" s="30" t="n"/>
      <c r="D566" s="11">
        <f>IF(C566="","",C566*$B$1)</f>
        <v/>
      </c>
      <c r="E566" s="12">
        <f>IF(C566="","",C566-D566)</f>
        <v/>
      </c>
      <c r="F566" s="19">
        <f>IF(OR(B566="",C566=""),"",E566-B566)</f>
        <v/>
      </c>
      <c r="G566" s="21">
        <f>IF(OR(B566="",B566=0),"",F566/B566)</f>
        <v/>
      </c>
      <c r="H566" s="13" t="n"/>
    </row>
    <row r="567" ht="19.5" customHeight="1" s="49">
      <c r="A567" s="6" t="n"/>
      <c r="B567" s="24" t="n"/>
      <c r="C567" s="29" t="n"/>
      <c r="D567" s="7">
        <f>IF(C567="","",C567*$B$1)</f>
        <v/>
      </c>
      <c r="E567" s="8">
        <f>IF(C567="","",C567-D567)</f>
        <v/>
      </c>
      <c r="F567" s="18">
        <f>IF(OR(B567="",C567=""),"",E567-B567)</f>
        <v/>
      </c>
      <c r="G567" s="20">
        <f>IF(OR(B567="",B567=0),"",F567/B567)</f>
        <v/>
      </c>
      <c r="H567" s="9" t="n"/>
    </row>
    <row r="568" ht="19.5" customHeight="1" s="49">
      <c r="A568" s="10" t="n"/>
      <c r="B568" s="25" t="n"/>
      <c r="C568" s="30" t="n"/>
      <c r="D568" s="11">
        <f>IF(C568="","",C568*$B$1)</f>
        <v/>
      </c>
      <c r="E568" s="12">
        <f>IF(C568="","",C568-D568)</f>
        <v/>
      </c>
      <c r="F568" s="19">
        <f>IF(OR(B568="",C568=""),"",E568-B568)</f>
        <v/>
      </c>
      <c r="G568" s="21">
        <f>IF(OR(B568="",B568=0),"",F568/B568)</f>
        <v/>
      </c>
      <c r="H568" s="13" t="n"/>
    </row>
    <row r="569" ht="19.5" customHeight="1" s="49">
      <c r="A569" s="6" t="n"/>
      <c r="B569" s="24" t="n"/>
      <c r="C569" s="29" t="n"/>
      <c r="D569" s="7">
        <f>IF(C569="","",C569*$B$1)</f>
        <v/>
      </c>
      <c r="E569" s="8">
        <f>IF(C569="","",C569-D569)</f>
        <v/>
      </c>
      <c r="F569" s="18">
        <f>IF(OR(B569="",C569=""),"",E569-B569)</f>
        <v/>
      </c>
      <c r="G569" s="20">
        <f>IF(OR(B569="",B569=0),"",F569/B569)</f>
        <v/>
      </c>
      <c r="H569" s="9" t="n"/>
    </row>
    <row r="570" ht="19.5" customHeight="1" s="49">
      <c r="A570" s="10" t="n"/>
      <c r="B570" s="25" t="n"/>
      <c r="C570" s="30" t="n"/>
      <c r="D570" s="11">
        <f>IF(C570="","",C570*$B$1)</f>
        <v/>
      </c>
      <c r="E570" s="12">
        <f>IF(C570="","",C570-D570)</f>
        <v/>
      </c>
      <c r="F570" s="19">
        <f>IF(OR(B570="",C570=""),"",E570-B570)</f>
        <v/>
      </c>
      <c r="G570" s="21">
        <f>IF(OR(B570="",B570=0),"",F570/B570)</f>
        <v/>
      </c>
      <c r="H570" s="13" t="n"/>
    </row>
    <row r="571" ht="19.5" customHeight="1" s="49">
      <c r="A571" s="6" t="n"/>
      <c r="B571" s="24" t="n"/>
      <c r="C571" s="29" t="n"/>
      <c r="D571" s="7">
        <f>IF(C571="","",C571*$B$1)</f>
        <v/>
      </c>
      <c r="E571" s="8">
        <f>IF(C571="","",C571-D571)</f>
        <v/>
      </c>
      <c r="F571" s="18">
        <f>IF(OR(B571="",C571=""),"",E571-B571)</f>
        <v/>
      </c>
      <c r="G571" s="20">
        <f>IF(OR(B571="",B571=0),"",F571/B571)</f>
        <v/>
      </c>
      <c r="H571" s="9" t="n"/>
    </row>
    <row r="572" ht="19.5" customHeight="1" s="49">
      <c r="A572" s="10" t="n"/>
      <c r="B572" s="25" t="n"/>
      <c r="C572" s="30" t="n"/>
      <c r="D572" s="11">
        <f>IF(C572="","",C572*$B$1)</f>
        <v/>
      </c>
      <c r="E572" s="12">
        <f>IF(C572="","",C572-D572)</f>
        <v/>
      </c>
      <c r="F572" s="19">
        <f>IF(OR(B572="",C572=""),"",E572-B572)</f>
        <v/>
      </c>
      <c r="G572" s="21">
        <f>IF(OR(B572="",B572=0),"",F572/B572)</f>
        <v/>
      </c>
      <c r="H572" s="13" t="n"/>
    </row>
    <row r="573" ht="19.5" customHeight="1" s="49">
      <c r="A573" s="6" t="n"/>
      <c r="B573" s="24" t="n"/>
      <c r="C573" s="29" t="n"/>
      <c r="D573" s="7">
        <f>IF(C573="","",C573*$B$1)</f>
        <v/>
      </c>
      <c r="E573" s="8">
        <f>IF(C573="","",C573-D573)</f>
        <v/>
      </c>
      <c r="F573" s="18">
        <f>IF(OR(B573="",C573=""),"",E573-B573)</f>
        <v/>
      </c>
      <c r="G573" s="20">
        <f>IF(OR(B573="",B573=0),"",F573/B573)</f>
        <v/>
      </c>
      <c r="H573" s="9" t="n"/>
    </row>
    <row r="574" ht="19.5" customHeight="1" s="49">
      <c r="A574" s="10" t="n"/>
      <c r="B574" s="25" t="n"/>
      <c r="C574" s="30" t="n"/>
      <c r="D574" s="11">
        <f>IF(C574="","",C574*$B$1)</f>
        <v/>
      </c>
      <c r="E574" s="12">
        <f>IF(C574="","",C574-D574)</f>
        <v/>
      </c>
      <c r="F574" s="19">
        <f>IF(OR(B574="",C574=""),"",E574-B574)</f>
        <v/>
      </c>
      <c r="G574" s="21">
        <f>IF(OR(B574="",B574=0),"",F574/B574)</f>
        <v/>
      </c>
      <c r="H574" s="13" t="n"/>
    </row>
    <row r="575" ht="19.5" customHeight="1" s="49">
      <c r="A575" s="6" t="n"/>
      <c r="B575" s="24" t="n"/>
      <c r="C575" s="29" t="n"/>
      <c r="D575" s="7">
        <f>IF(C575="","",C575*$B$1)</f>
        <v/>
      </c>
      <c r="E575" s="8">
        <f>IF(C575="","",C575-D575)</f>
        <v/>
      </c>
      <c r="F575" s="18">
        <f>IF(OR(B575="",C575=""),"",E575-B575)</f>
        <v/>
      </c>
      <c r="G575" s="20">
        <f>IF(OR(B575="",B575=0),"",F575/B575)</f>
        <v/>
      </c>
      <c r="H575" s="9" t="n"/>
    </row>
    <row r="576" ht="19.5" customHeight="1" s="49">
      <c r="A576" s="10" t="n"/>
      <c r="B576" s="25" t="n"/>
      <c r="C576" s="30" t="n"/>
      <c r="D576" s="11">
        <f>IF(C576="","",C576*$B$1)</f>
        <v/>
      </c>
      <c r="E576" s="12">
        <f>IF(C576="","",C576-D576)</f>
        <v/>
      </c>
      <c r="F576" s="19">
        <f>IF(OR(B576="",C576=""),"",E576-B576)</f>
        <v/>
      </c>
      <c r="G576" s="21">
        <f>IF(OR(B576="",B576=0),"",F576/B576)</f>
        <v/>
      </c>
      <c r="H576" s="13" t="n"/>
    </row>
    <row r="577" ht="19.5" customHeight="1" s="49">
      <c r="A577" s="6" t="n"/>
      <c r="B577" s="24" t="n"/>
      <c r="C577" s="29" t="n"/>
      <c r="D577" s="7">
        <f>IF(C577="","",C577*$B$1)</f>
        <v/>
      </c>
      <c r="E577" s="8">
        <f>IF(C577="","",C577-D577)</f>
        <v/>
      </c>
      <c r="F577" s="18">
        <f>IF(OR(B577="",C577=""),"",E577-B577)</f>
        <v/>
      </c>
      <c r="G577" s="20">
        <f>IF(OR(B577="",B577=0),"",F577/B577)</f>
        <v/>
      </c>
      <c r="H577" s="9" t="n"/>
    </row>
    <row r="578" ht="19.5" customHeight="1" s="49">
      <c r="A578" s="10" t="n"/>
      <c r="B578" s="25" t="n"/>
      <c r="C578" s="30" t="n"/>
      <c r="D578" s="11">
        <f>IF(C578="","",C578*$B$1)</f>
        <v/>
      </c>
      <c r="E578" s="12">
        <f>IF(C578="","",C578-D578)</f>
        <v/>
      </c>
      <c r="F578" s="19">
        <f>IF(OR(B578="",C578=""),"",E578-B578)</f>
        <v/>
      </c>
      <c r="G578" s="21">
        <f>IF(OR(B578="",B578=0),"",F578/B578)</f>
        <v/>
      </c>
      <c r="H578" s="13" t="n"/>
    </row>
    <row r="579" ht="19.5" customHeight="1" s="49">
      <c r="A579" s="6" t="n"/>
      <c r="B579" s="24" t="n"/>
      <c r="C579" s="29" t="n"/>
      <c r="D579" s="7">
        <f>IF(C579="","",C579*$B$1)</f>
        <v/>
      </c>
      <c r="E579" s="8">
        <f>IF(C579="","",C579-D579)</f>
        <v/>
      </c>
      <c r="F579" s="18">
        <f>IF(OR(B579="",C579=""),"",E579-B579)</f>
        <v/>
      </c>
      <c r="G579" s="20">
        <f>IF(OR(B579="",B579=0),"",F579/B579)</f>
        <v/>
      </c>
      <c r="H579" s="9" t="n"/>
    </row>
    <row r="580" ht="19.5" customHeight="1" s="49">
      <c r="A580" s="10" t="n"/>
      <c r="B580" s="25" t="n"/>
      <c r="C580" s="30" t="n"/>
      <c r="D580" s="11">
        <f>IF(C580="","",C580*$B$1)</f>
        <v/>
      </c>
      <c r="E580" s="12">
        <f>IF(C580="","",C580-D580)</f>
        <v/>
      </c>
      <c r="F580" s="19">
        <f>IF(OR(B580="",C580=""),"",E580-B580)</f>
        <v/>
      </c>
      <c r="G580" s="21">
        <f>IF(OR(B580="",B580=0),"",F580/B580)</f>
        <v/>
      </c>
      <c r="H580" s="13" t="n"/>
    </row>
    <row r="581" ht="19.5" customHeight="1" s="49">
      <c r="A581" s="6" t="n"/>
      <c r="B581" s="24" t="n"/>
      <c r="C581" s="29" t="n"/>
      <c r="D581" s="7">
        <f>IF(C581="","",C581*$B$1)</f>
        <v/>
      </c>
      <c r="E581" s="8">
        <f>IF(C581="","",C581-D581)</f>
        <v/>
      </c>
      <c r="F581" s="18">
        <f>IF(OR(B581="",C581=""),"",E581-B581)</f>
        <v/>
      </c>
      <c r="G581" s="20">
        <f>IF(OR(B581="",B581=0),"",F581/B581)</f>
        <v/>
      </c>
      <c r="H581" s="9" t="n"/>
    </row>
    <row r="582" ht="19.5" customHeight="1" s="49">
      <c r="A582" s="10" t="n"/>
      <c r="B582" s="25" t="n"/>
      <c r="C582" s="30" t="n"/>
      <c r="D582" s="11">
        <f>IF(C582="","",C582*$B$1)</f>
        <v/>
      </c>
      <c r="E582" s="12">
        <f>IF(C582="","",C582-D582)</f>
        <v/>
      </c>
      <c r="F582" s="19">
        <f>IF(OR(B582="",C582=""),"",E582-B582)</f>
        <v/>
      </c>
      <c r="G582" s="21">
        <f>IF(OR(B582="",B582=0),"",F582/B582)</f>
        <v/>
      </c>
      <c r="H582" s="13" t="n"/>
    </row>
    <row r="583" ht="19.5" customHeight="1" s="49">
      <c r="A583" s="6" t="n"/>
      <c r="B583" s="24" t="n"/>
      <c r="C583" s="29" t="n"/>
      <c r="D583" s="7">
        <f>IF(C583="","",C583*$B$1)</f>
        <v/>
      </c>
      <c r="E583" s="8">
        <f>IF(C583="","",C583-D583)</f>
        <v/>
      </c>
      <c r="F583" s="18">
        <f>IF(OR(B583="",C583=""),"",E583-B583)</f>
        <v/>
      </c>
      <c r="G583" s="20">
        <f>IF(OR(B583="",B583=0),"",F583/B583)</f>
        <v/>
      </c>
      <c r="H583" s="9" t="n"/>
    </row>
    <row r="584" ht="19.5" customHeight="1" s="49">
      <c r="A584" s="10" t="n"/>
      <c r="B584" s="25" t="n"/>
      <c r="C584" s="30" t="n"/>
      <c r="D584" s="11">
        <f>IF(C584="","",C584*$B$1)</f>
        <v/>
      </c>
      <c r="E584" s="12">
        <f>IF(C584="","",C584-D584)</f>
        <v/>
      </c>
      <c r="F584" s="19">
        <f>IF(OR(B584="",C584=""),"",E584-B584)</f>
        <v/>
      </c>
      <c r="G584" s="21">
        <f>IF(OR(B584="",B584=0),"",F584/B584)</f>
        <v/>
      </c>
      <c r="H584" s="13" t="n"/>
    </row>
    <row r="585" ht="19.5" customHeight="1" s="49">
      <c r="A585" s="6" t="n"/>
      <c r="B585" s="24" t="n"/>
      <c r="C585" s="29" t="n"/>
      <c r="D585" s="7">
        <f>IF(C585="","",C585*$B$1)</f>
        <v/>
      </c>
      <c r="E585" s="8">
        <f>IF(C585="","",C585-D585)</f>
        <v/>
      </c>
      <c r="F585" s="18">
        <f>IF(OR(B585="",C585=""),"",E585-B585)</f>
        <v/>
      </c>
      <c r="G585" s="20">
        <f>IF(OR(B585="",B585=0),"",F585/B585)</f>
        <v/>
      </c>
      <c r="H585" s="9" t="n"/>
    </row>
    <row r="586" ht="19.5" customHeight="1" s="49">
      <c r="A586" s="10" t="n"/>
      <c r="B586" s="25" t="n"/>
      <c r="C586" s="30" t="n"/>
      <c r="D586" s="11">
        <f>IF(C586="","",C586*$B$1)</f>
        <v/>
      </c>
      <c r="E586" s="12">
        <f>IF(C586="","",C586-D586)</f>
        <v/>
      </c>
      <c r="F586" s="19">
        <f>IF(OR(B586="",C586=""),"",E586-B586)</f>
        <v/>
      </c>
      <c r="G586" s="21">
        <f>IF(OR(B586="",B586=0),"",F586/B586)</f>
        <v/>
      </c>
      <c r="H586" s="13" t="n"/>
    </row>
    <row r="587" ht="19.5" customHeight="1" s="49">
      <c r="A587" s="6" t="n"/>
      <c r="B587" s="24" t="n"/>
      <c r="C587" s="29" t="n"/>
      <c r="D587" s="7">
        <f>IF(C587="","",C587*$B$1)</f>
        <v/>
      </c>
      <c r="E587" s="8">
        <f>IF(C587="","",C587-D587)</f>
        <v/>
      </c>
      <c r="F587" s="18">
        <f>IF(OR(B587="",C587=""),"",E587-B587)</f>
        <v/>
      </c>
      <c r="G587" s="20">
        <f>IF(OR(B587="",B587=0),"",F587/B587)</f>
        <v/>
      </c>
      <c r="H587" s="9" t="n"/>
    </row>
    <row r="588" ht="19.5" customHeight="1" s="49">
      <c r="A588" s="10" t="n"/>
      <c r="B588" s="25" t="n"/>
      <c r="C588" s="30" t="n"/>
      <c r="D588" s="11">
        <f>IF(C588="","",C588*$B$1)</f>
        <v/>
      </c>
      <c r="E588" s="12">
        <f>IF(C588="","",C588-D588)</f>
        <v/>
      </c>
      <c r="F588" s="19">
        <f>IF(OR(B588="",C588=""),"",E588-B588)</f>
        <v/>
      </c>
      <c r="G588" s="21">
        <f>IF(OR(B588="",B588=0),"",F588/B588)</f>
        <v/>
      </c>
      <c r="H588" s="13" t="n"/>
    </row>
    <row r="589" ht="19.5" customHeight="1" s="49">
      <c r="A589" s="6" t="n"/>
      <c r="B589" s="24" t="n"/>
      <c r="C589" s="29" t="n"/>
      <c r="D589" s="7">
        <f>IF(C589="","",C589*$B$1)</f>
        <v/>
      </c>
      <c r="E589" s="8">
        <f>IF(C589="","",C589-D589)</f>
        <v/>
      </c>
      <c r="F589" s="18">
        <f>IF(OR(B589="",C589=""),"",E589-B589)</f>
        <v/>
      </c>
      <c r="G589" s="20">
        <f>IF(OR(B589="",B589=0),"",F589/B589)</f>
        <v/>
      </c>
      <c r="H589" s="9" t="n"/>
    </row>
    <row r="590" ht="19.5" customHeight="1" s="49">
      <c r="A590" s="10" t="n"/>
      <c r="B590" s="25" t="n"/>
      <c r="C590" s="30" t="n"/>
      <c r="D590" s="11">
        <f>IF(C590="","",C590*$B$1)</f>
        <v/>
      </c>
      <c r="E590" s="12">
        <f>IF(C590="","",C590-D590)</f>
        <v/>
      </c>
      <c r="F590" s="19">
        <f>IF(OR(B590="",C590=""),"",E590-B590)</f>
        <v/>
      </c>
      <c r="G590" s="21">
        <f>IF(OR(B590="",B590=0),"",F590/B590)</f>
        <v/>
      </c>
      <c r="H590" s="13" t="n"/>
    </row>
    <row r="591" ht="19.5" customHeight="1" s="49">
      <c r="A591" s="6" t="n"/>
      <c r="B591" s="24" t="n"/>
      <c r="C591" s="29" t="n"/>
      <c r="D591" s="7">
        <f>IF(C591="","",C591*$B$1)</f>
        <v/>
      </c>
      <c r="E591" s="8">
        <f>IF(C591="","",C591-D591)</f>
        <v/>
      </c>
      <c r="F591" s="18">
        <f>IF(OR(B591="",C591=""),"",E591-B591)</f>
        <v/>
      </c>
      <c r="G591" s="20">
        <f>IF(OR(B591="",B591=0),"",F591/B591)</f>
        <v/>
      </c>
      <c r="H591" s="9" t="n"/>
    </row>
    <row r="592" ht="19.5" customHeight="1" s="49">
      <c r="A592" s="10" t="n"/>
      <c r="B592" s="25" t="n"/>
      <c r="C592" s="30" t="n"/>
      <c r="D592" s="11">
        <f>IF(C592="","",C592*$B$1)</f>
        <v/>
      </c>
      <c r="E592" s="12">
        <f>IF(C592="","",C592-D592)</f>
        <v/>
      </c>
      <c r="F592" s="19">
        <f>IF(OR(B592="",C592=""),"",E592-B592)</f>
        <v/>
      </c>
      <c r="G592" s="21">
        <f>IF(OR(B592="",B592=0),"",F592/B592)</f>
        <v/>
      </c>
      <c r="H592" s="13" t="n"/>
    </row>
    <row r="593" ht="19.5" customHeight="1" s="49">
      <c r="A593" s="6" t="n"/>
      <c r="B593" s="24" t="n"/>
      <c r="C593" s="29" t="n"/>
      <c r="D593" s="7">
        <f>IF(C593="","",C593*$B$1)</f>
        <v/>
      </c>
      <c r="E593" s="8">
        <f>IF(C593="","",C593-D593)</f>
        <v/>
      </c>
      <c r="F593" s="18">
        <f>IF(OR(B593="",C593=""),"",E593-B593)</f>
        <v/>
      </c>
      <c r="G593" s="20">
        <f>IF(OR(B593="",B593=0),"",F593/B593)</f>
        <v/>
      </c>
      <c r="H593" s="9" t="n"/>
    </row>
    <row r="594" ht="19.5" customHeight="1" s="49">
      <c r="A594" s="10" t="n"/>
      <c r="B594" s="25" t="n"/>
      <c r="C594" s="30" t="n"/>
      <c r="D594" s="11">
        <f>IF(C594="","",C594*$B$1)</f>
        <v/>
      </c>
      <c r="E594" s="12">
        <f>IF(C594="","",C594-D594)</f>
        <v/>
      </c>
      <c r="F594" s="19">
        <f>IF(OR(B594="",C594=""),"",E594-B594)</f>
        <v/>
      </c>
      <c r="G594" s="21">
        <f>IF(OR(B594="",B594=0),"",F594/B594)</f>
        <v/>
      </c>
      <c r="H594" s="13" t="n"/>
    </row>
    <row r="595" ht="19.5" customHeight="1" s="49">
      <c r="A595" s="6" t="n"/>
      <c r="B595" s="24" t="n"/>
      <c r="C595" s="29" t="n"/>
      <c r="D595" s="7">
        <f>IF(C595="","",C595*$B$1)</f>
        <v/>
      </c>
      <c r="E595" s="8">
        <f>IF(C595="","",C595-D595)</f>
        <v/>
      </c>
      <c r="F595" s="18">
        <f>IF(OR(B595="",C595=""),"",E595-B595)</f>
        <v/>
      </c>
      <c r="G595" s="20">
        <f>IF(OR(B595="",B595=0),"",F595/B595)</f>
        <v/>
      </c>
      <c r="H595" s="9" t="n"/>
    </row>
    <row r="596" ht="19.5" customHeight="1" s="49">
      <c r="A596" s="10" t="n"/>
      <c r="B596" s="25" t="n"/>
      <c r="C596" s="30" t="n"/>
      <c r="D596" s="11">
        <f>IF(C596="","",C596*$B$1)</f>
        <v/>
      </c>
      <c r="E596" s="12">
        <f>IF(C596="","",C596-D596)</f>
        <v/>
      </c>
      <c r="F596" s="19">
        <f>IF(OR(B596="",C596=""),"",E596-B596)</f>
        <v/>
      </c>
      <c r="G596" s="21">
        <f>IF(OR(B596="",B596=0),"",F596/B596)</f>
        <v/>
      </c>
      <c r="H596" s="13" t="n"/>
    </row>
    <row r="597" ht="19.5" customHeight="1" s="49">
      <c r="A597" s="6" t="n"/>
      <c r="B597" s="24" t="n"/>
      <c r="C597" s="29" t="n"/>
      <c r="D597" s="7">
        <f>IF(C597="","",C597*$B$1)</f>
        <v/>
      </c>
      <c r="E597" s="8">
        <f>IF(C597="","",C597-D597)</f>
        <v/>
      </c>
      <c r="F597" s="18">
        <f>IF(OR(B597="",C597=""),"",E597-B597)</f>
        <v/>
      </c>
      <c r="G597" s="20">
        <f>IF(OR(B597="",B597=0),"",F597/B597)</f>
        <v/>
      </c>
      <c r="H597" s="9" t="n"/>
    </row>
    <row r="598" ht="19.5" customHeight="1" s="49">
      <c r="A598" s="10" t="n"/>
      <c r="B598" s="25" t="n"/>
      <c r="C598" s="30" t="n"/>
      <c r="D598" s="11">
        <f>IF(C598="","",C598*$B$1)</f>
        <v/>
      </c>
      <c r="E598" s="12">
        <f>IF(C598="","",C598-D598)</f>
        <v/>
      </c>
      <c r="F598" s="19">
        <f>IF(OR(B598="",C598=""),"",E598-B598)</f>
        <v/>
      </c>
      <c r="G598" s="21">
        <f>IF(OR(B598="",B598=0),"",F598/B598)</f>
        <v/>
      </c>
      <c r="H598" s="13" t="n"/>
    </row>
    <row r="599" ht="19.5" customHeight="1" s="49">
      <c r="A599" s="6" t="n"/>
      <c r="B599" s="24" t="n"/>
      <c r="C599" s="29" t="n"/>
      <c r="D599" s="7">
        <f>IF(C599="","",C599*$B$1)</f>
        <v/>
      </c>
      <c r="E599" s="8">
        <f>IF(C599="","",C599-D599)</f>
        <v/>
      </c>
      <c r="F599" s="18">
        <f>IF(OR(B599="",C599=""),"",E599-B599)</f>
        <v/>
      </c>
      <c r="G599" s="20">
        <f>IF(OR(B599="",B599=0),"",F599/B599)</f>
        <v/>
      </c>
      <c r="H599" s="9" t="n"/>
    </row>
    <row r="600" ht="19.5" customHeight="1" s="49">
      <c r="A600" s="10" t="n"/>
      <c r="B600" s="25" t="n"/>
      <c r="C600" s="30" t="n"/>
      <c r="D600" s="11">
        <f>IF(C600="","",C600*$B$1)</f>
        <v/>
      </c>
      <c r="E600" s="12">
        <f>IF(C600="","",C600-D600)</f>
        <v/>
      </c>
      <c r="F600" s="19">
        <f>IF(OR(B600="",C600=""),"",E600-B600)</f>
        <v/>
      </c>
      <c r="G600" s="21">
        <f>IF(OR(B600="",B600=0),"",F600/B600)</f>
        <v/>
      </c>
      <c r="H600" s="13" t="n"/>
    </row>
    <row r="601" ht="19.5" customHeight="1" s="49">
      <c r="A601" s="6" t="n"/>
      <c r="B601" s="24" t="n"/>
      <c r="C601" s="29" t="n"/>
      <c r="D601" s="7">
        <f>IF(C601="","",C601*$B$1)</f>
        <v/>
      </c>
      <c r="E601" s="8">
        <f>IF(C601="","",C601-D601)</f>
        <v/>
      </c>
      <c r="F601" s="18">
        <f>IF(OR(B601="",C601=""),"",E601-B601)</f>
        <v/>
      </c>
      <c r="G601" s="20">
        <f>IF(OR(B601="",B601=0),"",F601/B601)</f>
        <v/>
      </c>
      <c r="H601" s="9" t="n"/>
    </row>
    <row r="602" ht="19.5" customHeight="1" s="49">
      <c r="A602" s="10" t="n"/>
      <c r="B602" s="25" t="n"/>
      <c r="C602" s="30" t="n"/>
      <c r="D602" s="11">
        <f>IF(C602="","",C602*$B$1)</f>
        <v/>
      </c>
      <c r="E602" s="12">
        <f>IF(C602="","",C602-D602)</f>
        <v/>
      </c>
      <c r="F602" s="19">
        <f>IF(OR(B602="",C602=""),"",E602-B602)</f>
        <v/>
      </c>
      <c r="G602" s="21">
        <f>IF(OR(B602="",B602=0),"",F602/B602)</f>
        <v/>
      </c>
      <c r="H602" s="13" t="n"/>
    </row>
    <row r="603" ht="19.5" customHeight="1" s="49">
      <c r="A603" s="6" t="n"/>
      <c r="B603" s="24" t="n"/>
      <c r="C603" s="29" t="n"/>
      <c r="D603" s="7">
        <f>IF(C603="","",C603*$B$1)</f>
        <v/>
      </c>
      <c r="E603" s="8">
        <f>IF(C603="","",C603-D603)</f>
        <v/>
      </c>
      <c r="F603" s="18">
        <f>IF(OR(B603="",C603=""),"",E603-B603)</f>
        <v/>
      </c>
      <c r="G603" s="20">
        <f>IF(OR(B603="",B603=0),"",F603/B603)</f>
        <v/>
      </c>
      <c r="H603" s="9" t="n"/>
    </row>
    <row r="604" ht="19.5" customHeight="1" s="49">
      <c r="A604" s="10" t="n"/>
      <c r="B604" s="25" t="n"/>
      <c r="C604" s="30" t="n"/>
      <c r="D604" s="11">
        <f>IF(C604="","",C604*$B$1)</f>
        <v/>
      </c>
      <c r="E604" s="12">
        <f>IF(C604="","",C604-D604)</f>
        <v/>
      </c>
      <c r="F604" s="19">
        <f>IF(OR(B604="",C604=""),"",E604-B604)</f>
        <v/>
      </c>
      <c r="G604" s="21">
        <f>IF(OR(B604="",B604=0),"",F604/B604)</f>
        <v/>
      </c>
      <c r="H604" s="13" t="n"/>
    </row>
    <row r="605" ht="19.5" customHeight="1" s="49">
      <c r="A605" s="6" t="n"/>
      <c r="B605" s="24" t="n"/>
      <c r="C605" s="29" t="n"/>
      <c r="D605" s="7">
        <f>IF(C605="","",C605*$B$1)</f>
        <v/>
      </c>
      <c r="E605" s="8">
        <f>IF(C605="","",C605-D605)</f>
        <v/>
      </c>
      <c r="F605" s="18">
        <f>IF(OR(B605="",C605=""),"",E605-B605)</f>
        <v/>
      </c>
      <c r="G605" s="20">
        <f>IF(OR(B605="",B605=0),"",F605/B605)</f>
        <v/>
      </c>
      <c r="H605" s="9" t="n"/>
    </row>
    <row r="606" ht="19.5" customHeight="1" s="49">
      <c r="A606" s="10" t="n"/>
      <c r="B606" s="25" t="n"/>
      <c r="C606" s="30" t="n"/>
      <c r="D606" s="11">
        <f>IF(C606="","",C606*$B$1)</f>
        <v/>
      </c>
      <c r="E606" s="12">
        <f>IF(C606="","",C606-D606)</f>
        <v/>
      </c>
      <c r="F606" s="19">
        <f>IF(OR(B606="",C606=""),"",E606-B606)</f>
        <v/>
      </c>
      <c r="G606" s="21">
        <f>IF(OR(B606="",B606=0),"",F606/B606)</f>
        <v/>
      </c>
      <c r="H606" s="13" t="n"/>
    </row>
    <row r="607" ht="19.5" customHeight="1" s="49">
      <c r="A607" s="6" t="n"/>
      <c r="B607" s="24" t="n"/>
      <c r="C607" s="29" t="n"/>
      <c r="D607" s="7">
        <f>IF(C607="","",C607*$B$1)</f>
        <v/>
      </c>
      <c r="E607" s="8">
        <f>IF(C607="","",C607-D607)</f>
        <v/>
      </c>
      <c r="F607" s="18">
        <f>IF(OR(B607="",C607=""),"",E607-B607)</f>
        <v/>
      </c>
      <c r="G607" s="20">
        <f>IF(OR(B607="",B607=0),"",F607/B607)</f>
        <v/>
      </c>
      <c r="H607" s="9" t="n"/>
    </row>
    <row r="608" ht="19.5" customHeight="1" s="49">
      <c r="A608" s="10" t="n"/>
      <c r="B608" s="25" t="n"/>
      <c r="C608" s="30" t="n"/>
      <c r="D608" s="11">
        <f>IF(C608="","",C608*$B$1)</f>
        <v/>
      </c>
      <c r="E608" s="12">
        <f>IF(C608="","",C608-D608)</f>
        <v/>
      </c>
      <c r="F608" s="19">
        <f>IF(OR(B608="",C608=""),"",E608-B608)</f>
        <v/>
      </c>
      <c r="G608" s="21">
        <f>IF(OR(B608="",B608=0),"",F608/B608)</f>
        <v/>
      </c>
      <c r="H608" s="13" t="n"/>
    </row>
    <row r="609" ht="19.5" customHeight="1" s="49">
      <c r="A609" s="6" t="n"/>
      <c r="B609" s="24" t="n"/>
      <c r="C609" s="29" t="n"/>
      <c r="D609" s="7">
        <f>IF(C609="","",C609*$B$1)</f>
        <v/>
      </c>
      <c r="E609" s="8">
        <f>IF(C609="","",C609-D609)</f>
        <v/>
      </c>
      <c r="F609" s="18">
        <f>IF(OR(B609="",C609=""),"",E609-B609)</f>
        <v/>
      </c>
      <c r="G609" s="20">
        <f>IF(OR(B609="",B609=0),"",F609/B609)</f>
        <v/>
      </c>
      <c r="H609" s="9" t="n"/>
    </row>
    <row r="610" ht="19.5" customHeight="1" s="49">
      <c r="A610" s="10" t="n"/>
      <c r="B610" s="25" t="n"/>
      <c r="C610" s="30" t="n"/>
      <c r="D610" s="11">
        <f>IF(C610="","",C610*$B$1)</f>
        <v/>
      </c>
      <c r="E610" s="12">
        <f>IF(C610="","",C610-D610)</f>
        <v/>
      </c>
      <c r="F610" s="19">
        <f>IF(OR(B610="",C610=""),"",E610-B610)</f>
        <v/>
      </c>
      <c r="G610" s="21">
        <f>IF(OR(B610="",B610=0),"",F610/B610)</f>
        <v/>
      </c>
      <c r="H610" s="13" t="n"/>
    </row>
    <row r="611" ht="19.5" customHeight="1" s="49">
      <c r="A611" s="6" t="n"/>
      <c r="B611" s="24" t="n"/>
      <c r="C611" s="29" t="n"/>
      <c r="D611" s="7">
        <f>IF(C611="","",C611*$B$1)</f>
        <v/>
      </c>
      <c r="E611" s="8">
        <f>IF(C611="","",C611-D611)</f>
        <v/>
      </c>
      <c r="F611" s="18">
        <f>IF(OR(B611="",C611=""),"",E611-B611)</f>
        <v/>
      </c>
      <c r="G611" s="20">
        <f>IF(OR(B611="",B611=0),"",F611/B611)</f>
        <v/>
      </c>
      <c r="H611" s="9" t="n"/>
    </row>
    <row r="612" ht="19.5" customHeight="1" s="49">
      <c r="A612" s="10" t="n"/>
      <c r="B612" s="25" t="n"/>
      <c r="C612" s="30" t="n"/>
      <c r="D612" s="11">
        <f>IF(C612="","",C612*$B$1)</f>
        <v/>
      </c>
      <c r="E612" s="12">
        <f>IF(C612="","",C612-D612)</f>
        <v/>
      </c>
      <c r="F612" s="19">
        <f>IF(OR(B612="",C612=""),"",E612-B612)</f>
        <v/>
      </c>
      <c r="G612" s="21">
        <f>IF(OR(B612="",B612=0),"",F612/B612)</f>
        <v/>
      </c>
      <c r="H612" s="13" t="n"/>
    </row>
    <row r="613" ht="19.5" customHeight="1" s="49">
      <c r="A613" s="6" t="n"/>
      <c r="B613" s="24" t="n"/>
      <c r="C613" s="29" t="n"/>
      <c r="D613" s="7">
        <f>IF(C613="","",C613*$B$1)</f>
        <v/>
      </c>
      <c r="E613" s="8">
        <f>IF(C613="","",C613-D613)</f>
        <v/>
      </c>
      <c r="F613" s="18">
        <f>IF(OR(B613="",C613=""),"",E613-B613)</f>
        <v/>
      </c>
      <c r="G613" s="20">
        <f>IF(OR(B613="",B613=0),"",F613/B613)</f>
        <v/>
      </c>
      <c r="H613" s="9" t="n"/>
    </row>
    <row r="614" ht="19.5" customHeight="1" s="49">
      <c r="A614" s="10" t="n"/>
      <c r="B614" s="25" t="n"/>
      <c r="C614" s="30" t="n"/>
      <c r="D614" s="11">
        <f>IF(C614="","",C614*$B$1)</f>
        <v/>
      </c>
      <c r="E614" s="12">
        <f>IF(C614="","",C614-D614)</f>
        <v/>
      </c>
      <c r="F614" s="19">
        <f>IF(OR(B614="",C614=""),"",E614-B614)</f>
        <v/>
      </c>
      <c r="G614" s="21">
        <f>IF(OR(B614="",B614=0),"",F614/B614)</f>
        <v/>
      </c>
      <c r="H614" s="13" t="n"/>
    </row>
    <row r="615" ht="19.5" customHeight="1" s="49">
      <c r="A615" s="6" t="n"/>
      <c r="B615" s="24" t="n"/>
      <c r="C615" s="29" t="n"/>
      <c r="D615" s="7">
        <f>IF(C615="","",C615*$B$1)</f>
        <v/>
      </c>
      <c r="E615" s="8">
        <f>IF(C615="","",C615-D615)</f>
        <v/>
      </c>
      <c r="F615" s="18">
        <f>IF(OR(B615="",C615=""),"",E615-B615)</f>
        <v/>
      </c>
      <c r="G615" s="20">
        <f>IF(OR(B615="",B615=0),"",F615/B615)</f>
        <v/>
      </c>
      <c r="H615" s="9" t="n"/>
    </row>
    <row r="616" ht="19.5" customHeight="1" s="49">
      <c r="A616" s="10" t="n"/>
      <c r="B616" s="25" t="n"/>
      <c r="C616" s="30" t="n"/>
      <c r="D616" s="11">
        <f>IF(C616="","",C616*$B$1)</f>
        <v/>
      </c>
      <c r="E616" s="12">
        <f>IF(C616="","",C616-D616)</f>
        <v/>
      </c>
      <c r="F616" s="19">
        <f>IF(OR(B616="",C616=""),"",E616-B616)</f>
        <v/>
      </c>
      <c r="G616" s="21">
        <f>IF(OR(B616="",B616=0),"",F616/B616)</f>
        <v/>
      </c>
      <c r="H616" s="13" t="n"/>
    </row>
    <row r="617" ht="19.5" customHeight="1" s="49">
      <c r="A617" s="6" t="n"/>
      <c r="B617" s="24" t="n"/>
      <c r="C617" s="29" t="n"/>
      <c r="D617" s="7">
        <f>IF(C617="","",C617*$B$1)</f>
        <v/>
      </c>
      <c r="E617" s="8">
        <f>IF(C617="","",C617-D617)</f>
        <v/>
      </c>
      <c r="F617" s="18">
        <f>IF(OR(B617="",C617=""),"",E617-B617)</f>
        <v/>
      </c>
      <c r="G617" s="20">
        <f>IF(OR(B617="",B617=0),"",F617/B617)</f>
        <v/>
      </c>
      <c r="H617" s="9" t="n"/>
    </row>
    <row r="618" ht="19.5" customHeight="1" s="49">
      <c r="A618" s="10" t="n"/>
      <c r="B618" s="25" t="n"/>
      <c r="C618" s="30" t="n"/>
      <c r="D618" s="11">
        <f>IF(C618="","",C618*$B$1)</f>
        <v/>
      </c>
      <c r="E618" s="12">
        <f>IF(C618="","",C618-D618)</f>
        <v/>
      </c>
      <c r="F618" s="19">
        <f>IF(OR(B618="",C618=""),"",E618-B618)</f>
        <v/>
      </c>
      <c r="G618" s="21">
        <f>IF(OR(B618="",B618=0),"",F618/B618)</f>
        <v/>
      </c>
      <c r="H618" s="13" t="n"/>
    </row>
    <row r="619" ht="19.5" customHeight="1" s="49">
      <c r="A619" s="6" t="n"/>
      <c r="B619" s="24" t="n"/>
      <c r="C619" s="29" t="n"/>
      <c r="D619" s="7">
        <f>IF(C619="","",C619*$B$1)</f>
        <v/>
      </c>
      <c r="E619" s="8">
        <f>IF(C619="","",C619-D619)</f>
        <v/>
      </c>
      <c r="F619" s="18">
        <f>IF(OR(B619="",C619=""),"",E619-B619)</f>
        <v/>
      </c>
      <c r="G619" s="20">
        <f>IF(OR(B619="",B619=0),"",F619/B619)</f>
        <v/>
      </c>
      <c r="H619" s="9" t="n"/>
    </row>
    <row r="620" ht="19.5" customHeight="1" s="49">
      <c r="A620" s="10" t="n"/>
      <c r="B620" s="25" t="n"/>
      <c r="C620" s="30" t="n"/>
      <c r="D620" s="11">
        <f>IF(C620="","",C620*$B$1)</f>
        <v/>
      </c>
      <c r="E620" s="12">
        <f>IF(C620="","",C620-D620)</f>
        <v/>
      </c>
      <c r="F620" s="19">
        <f>IF(OR(B620="",C620=""),"",E620-B620)</f>
        <v/>
      </c>
      <c r="G620" s="21">
        <f>IF(OR(B620="",B620=0),"",F620/B620)</f>
        <v/>
      </c>
      <c r="H620" s="13" t="n"/>
    </row>
    <row r="621" ht="19.5" customHeight="1" s="49">
      <c r="A621" s="6" t="n"/>
      <c r="B621" s="24" t="n"/>
      <c r="C621" s="29" t="n"/>
      <c r="D621" s="7">
        <f>IF(C621="","",C621*$B$1)</f>
        <v/>
      </c>
      <c r="E621" s="8">
        <f>IF(C621="","",C621-D621)</f>
        <v/>
      </c>
      <c r="F621" s="18">
        <f>IF(OR(B621="",C621=""),"",E621-B621)</f>
        <v/>
      </c>
      <c r="G621" s="20">
        <f>IF(OR(B621="",B621=0),"",F621/B621)</f>
        <v/>
      </c>
      <c r="H621" s="9" t="n"/>
    </row>
    <row r="622" ht="19.5" customHeight="1" s="49">
      <c r="A622" s="10" t="n"/>
      <c r="B622" s="25" t="n"/>
      <c r="C622" s="30" t="n"/>
      <c r="D622" s="11">
        <f>IF(C622="","",C622*$B$1)</f>
        <v/>
      </c>
      <c r="E622" s="12">
        <f>IF(C622="","",C622-D622)</f>
        <v/>
      </c>
      <c r="F622" s="19">
        <f>IF(OR(B622="",C622=""),"",E622-B622)</f>
        <v/>
      </c>
      <c r="G622" s="21">
        <f>IF(OR(B622="",B622=0),"",F622/B622)</f>
        <v/>
      </c>
      <c r="H622" s="13" t="n"/>
    </row>
    <row r="623" ht="19.5" customHeight="1" s="49">
      <c r="A623" s="6" t="n"/>
      <c r="B623" s="24" t="n"/>
      <c r="C623" s="29" t="n"/>
      <c r="D623" s="7">
        <f>IF(C623="","",C623*$B$1)</f>
        <v/>
      </c>
      <c r="E623" s="8">
        <f>IF(C623="","",C623-D623)</f>
        <v/>
      </c>
      <c r="F623" s="18">
        <f>IF(OR(B623="",C623=""),"",E623-B623)</f>
        <v/>
      </c>
      <c r="G623" s="20">
        <f>IF(OR(B623="",B623=0),"",F623/B623)</f>
        <v/>
      </c>
      <c r="H623" s="9" t="n"/>
    </row>
    <row r="624" ht="19.5" customHeight="1" s="49">
      <c r="A624" s="10" t="n"/>
      <c r="B624" s="25" t="n"/>
      <c r="C624" s="30" t="n"/>
      <c r="D624" s="11">
        <f>IF(C624="","",C624*$B$1)</f>
        <v/>
      </c>
      <c r="E624" s="12">
        <f>IF(C624="","",C624-D624)</f>
        <v/>
      </c>
      <c r="F624" s="19">
        <f>IF(OR(B624="",C624=""),"",E624-B624)</f>
        <v/>
      </c>
      <c r="G624" s="21">
        <f>IF(OR(B624="",B624=0),"",F624/B624)</f>
        <v/>
      </c>
      <c r="H624" s="13" t="n"/>
    </row>
    <row r="625" ht="19.5" customHeight="1" s="49">
      <c r="A625" s="6" t="n"/>
      <c r="B625" s="24" t="n"/>
      <c r="C625" s="29" t="n"/>
      <c r="D625" s="7">
        <f>IF(C625="","",C625*$B$1)</f>
        <v/>
      </c>
      <c r="E625" s="8">
        <f>IF(C625="","",C625-D625)</f>
        <v/>
      </c>
      <c r="F625" s="18">
        <f>IF(OR(B625="",C625=""),"",E625-B625)</f>
        <v/>
      </c>
      <c r="G625" s="20">
        <f>IF(OR(B625="",B625=0),"",F625/B625)</f>
        <v/>
      </c>
      <c r="H625" s="9" t="n"/>
    </row>
    <row r="626" ht="19.5" customHeight="1" s="49">
      <c r="A626" s="10" t="n"/>
      <c r="B626" s="25" t="n"/>
      <c r="C626" s="30" t="n"/>
      <c r="D626" s="11">
        <f>IF(C626="","",C626*$B$1)</f>
        <v/>
      </c>
      <c r="E626" s="12">
        <f>IF(C626="","",C626-D626)</f>
        <v/>
      </c>
      <c r="F626" s="19">
        <f>IF(OR(B626="",C626=""),"",E626-B626)</f>
        <v/>
      </c>
      <c r="G626" s="21">
        <f>IF(OR(B626="",B626=0),"",F626/B626)</f>
        <v/>
      </c>
      <c r="H626" s="13" t="n"/>
    </row>
    <row r="627" ht="19.5" customHeight="1" s="49">
      <c r="A627" s="6" t="n"/>
      <c r="B627" s="24" t="n"/>
      <c r="C627" s="29" t="n"/>
      <c r="D627" s="7">
        <f>IF(C627="","",C627*$B$1)</f>
        <v/>
      </c>
      <c r="E627" s="8">
        <f>IF(C627="","",C627-D627)</f>
        <v/>
      </c>
      <c r="F627" s="18">
        <f>IF(OR(B627="",C627=""),"",E627-B627)</f>
        <v/>
      </c>
      <c r="G627" s="20">
        <f>IF(OR(B627="",B627=0),"",F627/B627)</f>
        <v/>
      </c>
      <c r="H627" s="9" t="n"/>
    </row>
    <row r="628" ht="19.5" customHeight="1" s="49">
      <c r="A628" s="10" t="n"/>
      <c r="B628" s="25" t="n"/>
      <c r="C628" s="30" t="n"/>
      <c r="D628" s="11">
        <f>IF(C628="","",C628*$B$1)</f>
        <v/>
      </c>
      <c r="E628" s="12">
        <f>IF(C628="","",C628-D628)</f>
        <v/>
      </c>
      <c r="F628" s="19">
        <f>IF(OR(B628="",C628=""),"",E628-B628)</f>
        <v/>
      </c>
      <c r="G628" s="21">
        <f>IF(OR(B628="",B628=0),"",F628/B628)</f>
        <v/>
      </c>
      <c r="H628" s="13" t="n"/>
    </row>
    <row r="629" ht="19.5" customHeight="1" s="49">
      <c r="A629" s="6" t="n"/>
      <c r="B629" s="24" t="n"/>
      <c r="C629" s="29" t="n"/>
      <c r="D629" s="7">
        <f>IF(C629="","",C629*$B$1)</f>
        <v/>
      </c>
      <c r="E629" s="8">
        <f>IF(C629="","",C629-D629)</f>
        <v/>
      </c>
      <c r="F629" s="18">
        <f>IF(OR(B629="",C629=""),"",E629-B629)</f>
        <v/>
      </c>
      <c r="G629" s="20">
        <f>IF(OR(B629="",B629=0),"",F629/B629)</f>
        <v/>
      </c>
      <c r="H629" s="9" t="n"/>
    </row>
    <row r="630" ht="19.5" customHeight="1" s="49">
      <c r="A630" s="10" t="n"/>
      <c r="B630" s="25" t="n"/>
      <c r="C630" s="30" t="n"/>
      <c r="D630" s="11">
        <f>IF(C630="","",C630*$B$1)</f>
        <v/>
      </c>
      <c r="E630" s="12">
        <f>IF(C630="","",C630-D630)</f>
        <v/>
      </c>
      <c r="F630" s="19">
        <f>IF(OR(B630="",C630=""),"",E630-B630)</f>
        <v/>
      </c>
      <c r="G630" s="21">
        <f>IF(OR(B630="",B630=0),"",F630/B630)</f>
        <v/>
      </c>
      <c r="H630" s="13" t="n"/>
    </row>
    <row r="631" ht="19.5" customHeight="1" s="49">
      <c r="A631" s="6" t="n"/>
      <c r="B631" s="24" t="n"/>
      <c r="C631" s="29" t="n"/>
      <c r="D631" s="7">
        <f>IF(C631="","",C631*$B$1)</f>
        <v/>
      </c>
      <c r="E631" s="8">
        <f>IF(C631="","",C631-D631)</f>
        <v/>
      </c>
      <c r="F631" s="18">
        <f>IF(OR(B631="",C631=""),"",E631-B631)</f>
        <v/>
      </c>
      <c r="G631" s="20">
        <f>IF(OR(B631="",B631=0),"",F631/B631)</f>
        <v/>
      </c>
      <c r="H631" s="9" t="n"/>
    </row>
    <row r="632" ht="19.5" customHeight="1" s="49">
      <c r="A632" s="10" t="n"/>
      <c r="B632" s="25" t="n"/>
      <c r="C632" s="30" t="n"/>
      <c r="D632" s="11">
        <f>IF(C632="","",C632*$B$1)</f>
        <v/>
      </c>
      <c r="E632" s="12">
        <f>IF(C632="","",C632-D632)</f>
        <v/>
      </c>
      <c r="F632" s="19">
        <f>IF(OR(B632="",C632=""),"",E632-B632)</f>
        <v/>
      </c>
      <c r="G632" s="21">
        <f>IF(OR(B632="",B632=0),"",F632/B632)</f>
        <v/>
      </c>
      <c r="H632" s="13" t="n"/>
    </row>
    <row r="633" ht="19.5" customHeight="1" s="49">
      <c r="A633" s="6" t="n"/>
      <c r="B633" s="24" t="n"/>
      <c r="C633" s="29" t="n"/>
      <c r="D633" s="7">
        <f>IF(C633="","",C633*$B$1)</f>
        <v/>
      </c>
      <c r="E633" s="8">
        <f>IF(C633="","",C633-D633)</f>
        <v/>
      </c>
      <c r="F633" s="18">
        <f>IF(OR(B633="",C633=""),"",E633-B633)</f>
        <v/>
      </c>
      <c r="G633" s="20">
        <f>IF(OR(B633="",B633=0),"",F633/B633)</f>
        <v/>
      </c>
      <c r="H633" s="9" t="n"/>
    </row>
    <row r="634" ht="19.5" customHeight="1" s="49">
      <c r="A634" s="10" t="n"/>
      <c r="B634" s="25" t="n"/>
      <c r="C634" s="30" t="n"/>
      <c r="D634" s="11">
        <f>IF(C634="","",C634*$B$1)</f>
        <v/>
      </c>
      <c r="E634" s="12">
        <f>IF(C634="","",C634-D634)</f>
        <v/>
      </c>
      <c r="F634" s="19">
        <f>IF(OR(B634="",C634=""),"",E634-B634)</f>
        <v/>
      </c>
      <c r="G634" s="21">
        <f>IF(OR(B634="",B634=0),"",F634/B634)</f>
        <v/>
      </c>
      <c r="H634" s="13" t="n"/>
    </row>
    <row r="635" ht="19.5" customHeight="1" s="49">
      <c r="A635" s="6" t="n"/>
      <c r="B635" s="24" t="n"/>
      <c r="C635" s="29" t="n"/>
      <c r="D635" s="7">
        <f>IF(C635="","",C635*$B$1)</f>
        <v/>
      </c>
      <c r="E635" s="8">
        <f>IF(C635="","",C635-D635)</f>
        <v/>
      </c>
      <c r="F635" s="18">
        <f>IF(OR(B635="",C635=""),"",E635-B635)</f>
        <v/>
      </c>
      <c r="G635" s="20">
        <f>IF(OR(B635="",B635=0),"",F635/B635)</f>
        <v/>
      </c>
      <c r="H635" s="9" t="n"/>
    </row>
    <row r="636" ht="19.5" customHeight="1" s="49">
      <c r="A636" s="10" t="n"/>
      <c r="B636" s="25" t="n"/>
      <c r="C636" s="30" t="n"/>
      <c r="D636" s="11">
        <f>IF(C636="","",C636*$B$1)</f>
        <v/>
      </c>
      <c r="E636" s="12">
        <f>IF(C636="","",C636-D636)</f>
        <v/>
      </c>
      <c r="F636" s="19">
        <f>IF(OR(B636="",C636=""),"",E636-B636)</f>
        <v/>
      </c>
      <c r="G636" s="21">
        <f>IF(OR(B636="",B636=0),"",F636/B636)</f>
        <v/>
      </c>
      <c r="H636" s="13" t="n"/>
    </row>
    <row r="637" ht="19.5" customHeight="1" s="49">
      <c r="A637" s="6" t="n"/>
      <c r="B637" s="24" t="n"/>
      <c r="C637" s="29" t="n"/>
      <c r="D637" s="7">
        <f>IF(C637="","",C637*$B$1)</f>
        <v/>
      </c>
      <c r="E637" s="8">
        <f>IF(C637="","",C637-D637)</f>
        <v/>
      </c>
      <c r="F637" s="18">
        <f>IF(OR(B637="",C637=""),"",E637-B637)</f>
        <v/>
      </c>
      <c r="G637" s="20">
        <f>IF(OR(B637="",B637=0),"",F637/B637)</f>
        <v/>
      </c>
      <c r="H637" s="9" t="n"/>
    </row>
    <row r="638" ht="19.5" customHeight="1" s="49">
      <c r="A638" s="10" t="n"/>
      <c r="B638" s="25" t="n"/>
      <c r="C638" s="30" t="n"/>
      <c r="D638" s="11">
        <f>IF(C638="","",C638*$B$1)</f>
        <v/>
      </c>
      <c r="E638" s="12">
        <f>IF(C638="","",C638-D638)</f>
        <v/>
      </c>
      <c r="F638" s="19">
        <f>IF(OR(B638="",C638=""),"",E638-B638)</f>
        <v/>
      </c>
      <c r="G638" s="21">
        <f>IF(OR(B638="",B638=0),"",F638/B638)</f>
        <v/>
      </c>
      <c r="H638" s="13" t="n"/>
    </row>
    <row r="639" ht="19.5" customHeight="1" s="49">
      <c r="A639" s="6" t="n"/>
      <c r="B639" s="24" t="n"/>
      <c r="C639" s="29" t="n"/>
      <c r="D639" s="7">
        <f>IF(C639="","",C639*$B$1)</f>
        <v/>
      </c>
      <c r="E639" s="8">
        <f>IF(C639="","",C639-D639)</f>
        <v/>
      </c>
      <c r="F639" s="18">
        <f>IF(OR(B639="",C639=""),"",E639-B639)</f>
        <v/>
      </c>
      <c r="G639" s="20">
        <f>IF(OR(B639="",B639=0),"",F639/B639)</f>
        <v/>
      </c>
      <c r="H639" s="9" t="n"/>
    </row>
    <row r="640" ht="19.5" customHeight="1" s="49">
      <c r="A640" s="10" t="n"/>
      <c r="B640" s="25" t="n"/>
      <c r="C640" s="30" t="n"/>
      <c r="D640" s="11">
        <f>IF(C640="","",C640*$B$1)</f>
        <v/>
      </c>
      <c r="E640" s="12">
        <f>IF(C640="","",C640-D640)</f>
        <v/>
      </c>
      <c r="F640" s="19">
        <f>IF(OR(B640="",C640=""),"",E640-B640)</f>
        <v/>
      </c>
      <c r="G640" s="21">
        <f>IF(OR(B640="",B640=0),"",F640/B640)</f>
        <v/>
      </c>
      <c r="H640" s="13" t="n"/>
    </row>
    <row r="641" ht="19.5" customHeight="1" s="49">
      <c r="A641" s="6" t="n"/>
      <c r="B641" s="24" t="n"/>
      <c r="C641" s="29" t="n"/>
      <c r="D641" s="7">
        <f>IF(C641="","",C641*$B$1)</f>
        <v/>
      </c>
      <c r="E641" s="8">
        <f>IF(C641="","",C641-D641)</f>
        <v/>
      </c>
      <c r="F641" s="18">
        <f>IF(OR(B641="",C641=""),"",E641-B641)</f>
        <v/>
      </c>
      <c r="G641" s="20">
        <f>IF(OR(B641="",B641=0),"",F641/B641)</f>
        <v/>
      </c>
      <c r="H641" s="9" t="n"/>
    </row>
    <row r="642" ht="19.5" customHeight="1" s="49">
      <c r="A642" s="10" t="n"/>
      <c r="B642" s="25" t="n"/>
      <c r="C642" s="30" t="n"/>
      <c r="D642" s="11">
        <f>IF(C642="","",C642*$B$1)</f>
        <v/>
      </c>
      <c r="E642" s="12">
        <f>IF(C642="","",C642-D642)</f>
        <v/>
      </c>
      <c r="F642" s="19">
        <f>IF(OR(B642="",C642=""),"",E642-B642)</f>
        <v/>
      </c>
      <c r="G642" s="21">
        <f>IF(OR(B642="",B642=0),"",F642/B642)</f>
        <v/>
      </c>
      <c r="H642" s="13" t="n"/>
    </row>
    <row r="643" ht="19.5" customHeight="1" s="49">
      <c r="A643" s="6" t="n"/>
      <c r="B643" s="24" t="n"/>
      <c r="C643" s="29" t="n"/>
      <c r="D643" s="7">
        <f>IF(C643="","",C643*$B$1)</f>
        <v/>
      </c>
      <c r="E643" s="8">
        <f>IF(C643="","",C643-D643)</f>
        <v/>
      </c>
      <c r="F643" s="18">
        <f>IF(OR(B643="",C643=""),"",E643-B643)</f>
        <v/>
      </c>
      <c r="G643" s="20">
        <f>IF(OR(B643="",B643=0),"",F643/B643)</f>
        <v/>
      </c>
      <c r="H643" s="9" t="n"/>
    </row>
    <row r="644" ht="19.5" customHeight="1" s="49">
      <c r="A644" s="10" t="n"/>
      <c r="B644" s="25" t="n"/>
      <c r="C644" s="30" t="n"/>
      <c r="D644" s="11">
        <f>IF(C644="","",C644*$B$1)</f>
        <v/>
      </c>
      <c r="E644" s="12">
        <f>IF(C644="","",C644-D644)</f>
        <v/>
      </c>
      <c r="F644" s="19">
        <f>IF(OR(B644="",C644=""),"",E644-B644)</f>
        <v/>
      </c>
      <c r="G644" s="21">
        <f>IF(OR(B644="",B644=0),"",F644/B644)</f>
        <v/>
      </c>
      <c r="H644" s="13" t="n"/>
    </row>
    <row r="645" ht="19.5" customHeight="1" s="49">
      <c r="A645" s="6" t="n"/>
      <c r="B645" s="24" t="n"/>
      <c r="C645" s="29" t="n"/>
      <c r="D645" s="7">
        <f>IF(C645="","",C645*$B$1)</f>
        <v/>
      </c>
      <c r="E645" s="8">
        <f>IF(C645="","",C645-D645)</f>
        <v/>
      </c>
      <c r="F645" s="18">
        <f>IF(OR(B645="",C645=""),"",E645-B645)</f>
        <v/>
      </c>
      <c r="G645" s="20">
        <f>IF(OR(B645="",B645=0),"",F645/B645)</f>
        <v/>
      </c>
      <c r="H645" s="9" t="n"/>
    </row>
    <row r="646" ht="19.5" customHeight="1" s="49">
      <c r="A646" s="10" t="n"/>
      <c r="B646" s="25" t="n"/>
      <c r="C646" s="30" t="n"/>
      <c r="D646" s="11">
        <f>IF(C646="","",C646*$B$1)</f>
        <v/>
      </c>
      <c r="E646" s="12">
        <f>IF(C646="","",C646-D646)</f>
        <v/>
      </c>
      <c r="F646" s="19">
        <f>IF(OR(B646="",C646=""),"",E646-B646)</f>
        <v/>
      </c>
      <c r="G646" s="21">
        <f>IF(OR(B646="",B646=0),"",F646/B646)</f>
        <v/>
      </c>
      <c r="H646" s="13" t="n"/>
    </row>
    <row r="647" ht="19.5" customHeight="1" s="49">
      <c r="A647" s="6" t="n"/>
      <c r="B647" s="24" t="n"/>
      <c r="C647" s="29" t="n"/>
      <c r="D647" s="7">
        <f>IF(C647="","",C647*$B$1)</f>
        <v/>
      </c>
      <c r="E647" s="8">
        <f>IF(C647="","",C647-D647)</f>
        <v/>
      </c>
      <c r="F647" s="18">
        <f>IF(OR(B647="",C647=""),"",E647-B647)</f>
        <v/>
      </c>
      <c r="G647" s="20">
        <f>IF(OR(B647="",B647=0),"",F647/B647)</f>
        <v/>
      </c>
      <c r="H647" s="9" t="n"/>
    </row>
    <row r="648" ht="19.5" customHeight="1" s="49">
      <c r="A648" s="10" t="n"/>
      <c r="B648" s="25" t="n"/>
      <c r="C648" s="30" t="n"/>
      <c r="D648" s="11">
        <f>IF(C648="","",C648*$B$1)</f>
        <v/>
      </c>
      <c r="E648" s="12">
        <f>IF(C648="","",C648-D648)</f>
        <v/>
      </c>
      <c r="F648" s="19">
        <f>IF(OR(B648="",C648=""),"",E648-B648)</f>
        <v/>
      </c>
      <c r="G648" s="21">
        <f>IF(OR(B648="",B648=0),"",F648/B648)</f>
        <v/>
      </c>
      <c r="H648" s="13" t="n"/>
    </row>
    <row r="649" ht="19.5" customHeight="1" s="49">
      <c r="A649" s="6" t="n"/>
      <c r="B649" s="24" t="n"/>
      <c r="C649" s="29" t="n"/>
      <c r="D649" s="7">
        <f>IF(C649="","",C649*$B$1)</f>
        <v/>
      </c>
      <c r="E649" s="8">
        <f>IF(C649="","",C649-D649)</f>
        <v/>
      </c>
      <c r="F649" s="18">
        <f>IF(OR(B649="",C649=""),"",E649-B649)</f>
        <v/>
      </c>
      <c r="G649" s="20">
        <f>IF(OR(B649="",B649=0),"",F649/B649)</f>
        <v/>
      </c>
      <c r="H649" s="9" t="n"/>
    </row>
    <row r="650" ht="19.5" customHeight="1" s="49">
      <c r="A650" s="10" t="n"/>
      <c r="B650" s="25" t="n"/>
      <c r="C650" s="30" t="n"/>
      <c r="D650" s="11">
        <f>IF(C650="","",C650*$B$1)</f>
        <v/>
      </c>
      <c r="E650" s="12">
        <f>IF(C650="","",C650-D650)</f>
        <v/>
      </c>
      <c r="F650" s="19">
        <f>IF(OR(B650="",C650=""),"",E650-B650)</f>
        <v/>
      </c>
      <c r="G650" s="21">
        <f>IF(OR(B650="",B650=0),"",F650/B650)</f>
        <v/>
      </c>
      <c r="H650" s="13" t="n"/>
    </row>
    <row r="651" ht="19.5" customHeight="1" s="49">
      <c r="A651" s="6" t="n"/>
      <c r="B651" s="24" t="n"/>
      <c r="C651" s="29" t="n"/>
      <c r="D651" s="7">
        <f>IF(C651="","",C651*$B$1)</f>
        <v/>
      </c>
      <c r="E651" s="8">
        <f>IF(C651="","",C651-D651)</f>
        <v/>
      </c>
      <c r="F651" s="18">
        <f>IF(OR(B651="",C651=""),"",E651-B651)</f>
        <v/>
      </c>
      <c r="G651" s="20">
        <f>IF(OR(B651="",B651=0),"",F651/B651)</f>
        <v/>
      </c>
      <c r="H651" s="9" t="n"/>
    </row>
    <row r="652" ht="19.5" customHeight="1" s="49">
      <c r="A652" s="10" t="n"/>
      <c r="B652" s="25" t="n"/>
      <c r="C652" s="30" t="n"/>
      <c r="D652" s="11">
        <f>IF(C652="","",C652*$B$1)</f>
        <v/>
      </c>
      <c r="E652" s="12">
        <f>IF(C652="","",C652-D652)</f>
        <v/>
      </c>
      <c r="F652" s="19">
        <f>IF(OR(B652="",C652=""),"",E652-B652)</f>
        <v/>
      </c>
      <c r="G652" s="21">
        <f>IF(OR(B652="",B652=0),"",F652/B652)</f>
        <v/>
      </c>
      <c r="H652" s="13" t="n"/>
    </row>
    <row r="653" ht="19.5" customHeight="1" s="49">
      <c r="A653" s="6" t="n"/>
      <c r="B653" s="24" t="n"/>
      <c r="C653" s="29" t="n"/>
      <c r="D653" s="7">
        <f>IF(C653="","",C653*$B$1)</f>
        <v/>
      </c>
      <c r="E653" s="8">
        <f>IF(C653="","",C653-D653)</f>
        <v/>
      </c>
      <c r="F653" s="18">
        <f>IF(OR(B653="",C653=""),"",E653-B653)</f>
        <v/>
      </c>
      <c r="G653" s="20">
        <f>IF(OR(B653="",B653=0),"",F653/B653)</f>
        <v/>
      </c>
      <c r="H653" s="9" t="n"/>
    </row>
    <row r="654" ht="19.5" customHeight="1" s="49">
      <c r="A654" s="10" t="n"/>
      <c r="B654" s="25" t="n"/>
      <c r="C654" s="30" t="n"/>
      <c r="D654" s="11">
        <f>IF(C654="","",C654*$B$1)</f>
        <v/>
      </c>
      <c r="E654" s="12">
        <f>IF(C654="","",C654-D654)</f>
        <v/>
      </c>
      <c r="F654" s="19">
        <f>IF(OR(B654="",C654=""),"",E654-B654)</f>
        <v/>
      </c>
      <c r="G654" s="21">
        <f>IF(OR(B654="",B654=0),"",F654/B654)</f>
        <v/>
      </c>
      <c r="H654" s="13" t="n"/>
    </row>
    <row r="655" ht="19.5" customHeight="1" s="49">
      <c r="A655" s="6" t="n"/>
      <c r="B655" s="24" t="n"/>
      <c r="C655" s="29" t="n"/>
      <c r="D655" s="7">
        <f>IF(C655="","",C655*$B$1)</f>
        <v/>
      </c>
      <c r="E655" s="8">
        <f>IF(C655="","",C655-D655)</f>
        <v/>
      </c>
      <c r="F655" s="18">
        <f>IF(OR(B655="",C655=""),"",E655-B655)</f>
        <v/>
      </c>
      <c r="G655" s="20">
        <f>IF(OR(B655="",B655=0),"",F655/B655)</f>
        <v/>
      </c>
      <c r="H655" s="9" t="n"/>
    </row>
    <row r="656" ht="19.5" customHeight="1" s="49">
      <c r="A656" s="10" t="n"/>
      <c r="B656" s="25" t="n"/>
      <c r="C656" s="30" t="n"/>
      <c r="D656" s="11">
        <f>IF(C656="","",C656*$B$1)</f>
        <v/>
      </c>
      <c r="E656" s="12">
        <f>IF(C656="","",C656-D656)</f>
        <v/>
      </c>
      <c r="F656" s="19">
        <f>IF(OR(B656="",C656=""),"",E656-B656)</f>
        <v/>
      </c>
      <c r="G656" s="21">
        <f>IF(OR(B656="",B656=0),"",F656/B656)</f>
        <v/>
      </c>
      <c r="H656" s="13" t="n"/>
    </row>
    <row r="657" ht="19.5" customHeight="1" s="49">
      <c r="A657" s="6" t="n"/>
      <c r="B657" s="24" t="n"/>
      <c r="C657" s="29" t="n"/>
      <c r="D657" s="7">
        <f>IF(C657="","",C657*$B$1)</f>
        <v/>
      </c>
      <c r="E657" s="8">
        <f>IF(C657="","",C657-D657)</f>
        <v/>
      </c>
      <c r="F657" s="18">
        <f>IF(OR(B657="",C657=""),"",E657-B657)</f>
        <v/>
      </c>
      <c r="G657" s="20">
        <f>IF(OR(B657="",B657=0),"",F657/B657)</f>
        <v/>
      </c>
      <c r="H657" s="9" t="n"/>
    </row>
    <row r="658" ht="19.5" customHeight="1" s="49">
      <c r="A658" s="10" t="n"/>
      <c r="B658" s="25" t="n"/>
      <c r="C658" s="30" t="n"/>
      <c r="D658" s="11">
        <f>IF(C658="","",C658*$B$1)</f>
        <v/>
      </c>
      <c r="E658" s="12">
        <f>IF(C658="","",C658-D658)</f>
        <v/>
      </c>
      <c r="F658" s="19">
        <f>IF(OR(B658="",C658=""),"",E658-B658)</f>
        <v/>
      </c>
      <c r="G658" s="21">
        <f>IF(OR(B658="",B658=0),"",F658/B658)</f>
        <v/>
      </c>
      <c r="H658" s="13" t="n"/>
    </row>
    <row r="659" ht="19.5" customHeight="1" s="49">
      <c r="A659" s="6" t="n"/>
      <c r="B659" s="24" t="n"/>
      <c r="C659" s="29" t="n"/>
      <c r="D659" s="7">
        <f>IF(C659="","",C659*$B$1)</f>
        <v/>
      </c>
      <c r="E659" s="8">
        <f>IF(C659="","",C659-D659)</f>
        <v/>
      </c>
      <c r="F659" s="18">
        <f>IF(OR(B659="",C659=""),"",E659-B659)</f>
        <v/>
      </c>
      <c r="G659" s="20">
        <f>IF(OR(B659="",B659=0),"",F659/B659)</f>
        <v/>
      </c>
      <c r="H659" s="9" t="n"/>
    </row>
    <row r="660" ht="19.5" customHeight="1" s="49">
      <c r="A660" s="10" t="n"/>
      <c r="B660" s="25" t="n"/>
      <c r="C660" s="30" t="n"/>
      <c r="D660" s="11">
        <f>IF(C660="","",C660*$B$1)</f>
        <v/>
      </c>
      <c r="E660" s="12">
        <f>IF(C660="","",C660-D660)</f>
        <v/>
      </c>
      <c r="F660" s="19">
        <f>IF(OR(B660="",C660=""),"",E660-B660)</f>
        <v/>
      </c>
      <c r="G660" s="21">
        <f>IF(OR(B660="",B660=0),"",F660/B660)</f>
        <v/>
      </c>
      <c r="H660" s="13" t="n"/>
    </row>
    <row r="661" ht="19.5" customHeight="1" s="49">
      <c r="A661" s="6" t="n"/>
      <c r="B661" s="24" t="n"/>
      <c r="C661" s="29" t="n"/>
      <c r="D661" s="7">
        <f>IF(C661="","",C661*$B$1)</f>
        <v/>
      </c>
      <c r="E661" s="8">
        <f>IF(C661="","",C661-D661)</f>
        <v/>
      </c>
      <c r="F661" s="18">
        <f>IF(OR(B661="",C661=""),"",E661-B661)</f>
        <v/>
      </c>
      <c r="G661" s="20">
        <f>IF(OR(B661="",B661=0),"",F661/B661)</f>
        <v/>
      </c>
      <c r="H661" s="9" t="n"/>
    </row>
    <row r="662" ht="19.5" customHeight="1" s="49">
      <c r="A662" s="10" t="n"/>
      <c r="B662" s="25" t="n"/>
      <c r="C662" s="30" t="n"/>
      <c r="D662" s="11">
        <f>IF(C662="","",C662*$B$1)</f>
        <v/>
      </c>
      <c r="E662" s="12">
        <f>IF(C662="","",C662-D662)</f>
        <v/>
      </c>
      <c r="F662" s="19">
        <f>IF(OR(B662="",C662=""),"",E662-B662)</f>
        <v/>
      </c>
      <c r="G662" s="21">
        <f>IF(OR(B662="",B662=0),"",F662/B662)</f>
        <v/>
      </c>
      <c r="H662" s="13" t="n"/>
    </row>
    <row r="663" ht="19.5" customHeight="1" s="49">
      <c r="A663" s="6" t="n"/>
      <c r="B663" s="24" t="n"/>
      <c r="C663" s="29" t="n"/>
      <c r="D663" s="7">
        <f>IF(C663="","",C663*$B$1)</f>
        <v/>
      </c>
      <c r="E663" s="8">
        <f>IF(C663="","",C663-D663)</f>
        <v/>
      </c>
      <c r="F663" s="18">
        <f>IF(OR(B663="",C663=""),"",E663-B663)</f>
        <v/>
      </c>
      <c r="G663" s="20">
        <f>IF(OR(B663="",B663=0),"",F663/B663)</f>
        <v/>
      </c>
      <c r="H663" s="9" t="n"/>
    </row>
    <row r="664" ht="19.5" customHeight="1" s="49">
      <c r="A664" s="10" t="n"/>
      <c r="B664" s="25" t="n"/>
      <c r="C664" s="30" t="n"/>
      <c r="D664" s="11">
        <f>IF(C664="","",C664*$B$1)</f>
        <v/>
      </c>
      <c r="E664" s="12">
        <f>IF(C664="","",C664-D664)</f>
        <v/>
      </c>
      <c r="F664" s="19">
        <f>IF(OR(B664="",C664=""),"",E664-B664)</f>
        <v/>
      </c>
      <c r="G664" s="21">
        <f>IF(OR(B664="",B664=0),"",F664/B664)</f>
        <v/>
      </c>
      <c r="H664" s="13" t="n"/>
    </row>
    <row r="665" ht="19.5" customHeight="1" s="49">
      <c r="A665" s="6" t="n"/>
      <c r="B665" s="24" t="n"/>
      <c r="C665" s="29" t="n"/>
      <c r="D665" s="7">
        <f>IF(C665="","",C665*$B$1)</f>
        <v/>
      </c>
      <c r="E665" s="8">
        <f>IF(C665="","",C665-D665)</f>
        <v/>
      </c>
      <c r="F665" s="18">
        <f>IF(OR(B665="",C665=""),"",E665-B665)</f>
        <v/>
      </c>
      <c r="G665" s="20">
        <f>IF(OR(B665="",B665=0),"",F665/B665)</f>
        <v/>
      </c>
      <c r="H665" s="9" t="n"/>
    </row>
    <row r="666" ht="19.5" customHeight="1" s="49">
      <c r="A666" s="10" t="n"/>
      <c r="B666" s="25" t="n"/>
      <c r="C666" s="30" t="n"/>
      <c r="D666" s="11">
        <f>IF(C666="","",C666*$B$1)</f>
        <v/>
      </c>
      <c r="E666" s="12">
        <f>IF(C666="","",C666-D666)</f>
        <v/>
      </c>
      <c r="F666" s="19">
        <f>IF(OR(B666="",C666=""),"",E666-B666)</f>
        <v/>
      </c>
      <c r="G666" s="21">
        <f>IF(OR(B666="",B666=0),"",F666/B666)</f>
        <v/>
      </c>
      <c r="H666" s="13" t="n"/>
    </row>
    <row r="667" ht="19.5" customHeight="1" s="49">
      <c r="A667" s="6" t="n"/>
      <c r="B667" s="24" t="n"/>
      <c r="C667" s="29" t="n"/>
      <c r="D667" s="7">
        <f>IF(C667="","",C667*$B$1)</f>
        <v/>
      </c>
      <c r="E667" s="8">
        <f>IF(C667="","",C667-D667)</f>
        <v/>
      </c>
      <c r="F667" s="18">
        <f>IF(OR(B667="",C667=""),"",E667-B667)</f>
        <v/>
      </c>
      <c r="G667" s="20">
        <f>IF(OR(B667="",B667=0),"",F667/B667)</f>
        <v/>
      </c>
      <c r="H667" s="9" t="n"/>
    </row>
    <row r="668" ht="19.5" customHeight="1" s="49">
      <c r="A668" s="10" t="n"/>
      <c r="B668" s="25" t="n"/>
      <c r="C668" s="30" t="n"/>
      <c r="D668" s="11">
        <f>IF(C668="","",C668*$B$1)</f>
        <v/>
      </c>
      <c r="E668" s="12">
        <f>IF(C668="","",C668-D668)</f>
        <v/>
      </c>
      <c r="F668" s="19">
        <f>IF(OR(B668="",C668=""),"",E668-B668)</f>
        <v/>
      </c>
      <c r="G668" s="21">
        <f>IF(OR(B668="",B668=0),"",F668/B668)</f>
        <v/>
      </c>
      <c r="H668" s="13" t="n"/>
    </row>
    <row r="669" ht="19.5" customHeight="1" s="49">
      <c r="A669" s="6" t="n"/>
      <c r="B669" s="24" t="n"/>
      <c r="C669" s="29" t="n"/>
      <c r="D669" s="7">
        <f>IF(C669="","",C669*$B$1)</f>
        <v/>
      </c>
      <c r="E669" s="8">
        <f>IF(C669="","",C669-D669)</f>
        <v/>
      </c>
      <c r="F669" s="18">
        <f>IF(OR(B669="",C669=""),"",E669-B669)</f>
        <v/>
      </c>
      <c r="G669" s="20">
        <f>IF(OR(B669="",B669=0),"",F669/B669)</f>
        <v/>
      </c>
      <c r="H669" s="9" t="n"/>
    </row>
    <row r="670" ht="19.5" customHeight="1" s="49">
      <c r="A670" s="10" t="n"/>
      <c r="B670" s="25" t="n"/>
      <c r="C670" s="30" t="n"/>
      <c r="D670" s="11">
        <f>IF(C670="","",C670*$B$1)</f>
        <v/>
      </c>
      <c r="E670" s="12">
        <f>IF(C670="","",C670-D670)</f>
        <v/>
      </c>
      <c r="F670" s="19">
        <f>IF(OR(B670="",C670=""),"",E670-B670)</f>
        <v/>
      </c>
      <c r="G670" s="21">
        <f>IF(OR(B670="",B670=0),"",F670/B670)</f>
        <v/>
      </c>
      <c r="H670" s="13" t="n"/>
    </row>
    <row r="671" ht="19.5" customHeight="1" s="49">
      <c r="A671" s="6" t="n"/>
      <c r="B671" s="24" t="n"/>
      <c r="C671" s="29" t="n"/>
      <c r="D671" s="7">
        <f>IF(C671="","",C671*$B$1)</f>
        <v/>
      </c>
      <c r="E671" s="8">
        <f>IF(C671="","",C671-D671)</f>
        <v/>
      </c>
      <c r="F671" s="18">
        <f>IF(OR(B671="",C671=""),"",E671-B671)</f>
        <v/>
      </c>
      <c r="G671" s="20">
        <f>IF(OR(B671="",B671=0),"",F671/B671)</f>
        <v/>
      </c>
      <c r="H671" s="9" t="n"/>
    </row>
    <row r="672" ht="19.5" customHeight="1" s="49">
      <c r="A672" s="10" t="n"/>
      <c r="B672" s="25" t="n"/>
      <c r="C672" s="30" t="n"/>
      <c r="D672" s="11">
        <f>IF(C672="","",C672*$B$1)</f>
        <v/>
      </c>
      <c r="E672" s="12">
        <f>IF(C672="","",C672-D672)</f>
        <v/>
      </c>
      <c r="F672" s="19">
        <f>IF(OR(B672="",C672=""),"",E672-B672)</f>
        <v/>
      </c>
      <c r="G672" s="21">
        <f>IF(OR(B672="",B672=0),"",F672/B672)</f>
        <v/>
      </c>
      <c r="H672" s="13" t="n"/>
    </row>
    <row r="673" ht="19.5" customHeight="1" s="49">
      <c r="A673" s="6" t="n"/>
      <c r="B673" s="24" t="n"/>
      <c r="C673" s="29" t="n"/>
      <c r="D673" s="7">
        <f>IF(C673="","",C673*$B$1)</f>
        <v/>
      </c>
      <c r="E673" s="8">
        <f>IF(C673="","",C673-D673)</f>
        <v/>
      </c>
      <c r="F673" s="18">
        <f>IF(OR(B673="",C673=""),"",E673-B673)</f>
        <v/>
      </c>
      <c r="G673" s="20">
        <f>IF(OR(B673="",B673=0),"",F673/B673)</f>
        <v/>
      </c>
      <c r="H673" s="9" t="n"/>
    </row>
    <row r="674" ht="19.5" customHeight="1" s="49">
      <c r="A674" s="10" t="n"/>
      <c r="B674" s="25" t="n"/>
      <c r="C674" s="30" t="n"/>
      <c r="D674" s="11">
        <f>IF(C674="","",C674*$B$1)</f>
        <v/>
      </c>
      <c r="E674" s="12">
        <f>IF(C674="","",C674-D674)</f>
        <v/>
      </c>
      <c r="F674" s="19">
        <f>IF(OR(B674="",C674=""),"",E674-B674)</f>
        <v/>
      </c>
      <c r="G674" s="21">
        <f>IF(OR(B674="",B674=0),"",F674/B674)</f>
        <v/>
      </c>
      <c r="H674" s="13" t="n"/>
    </row>
    <row r="675" ht="19.5" customHeight="1" s="49">
      <c r="A675" s="6" t="n"/>
      <c r="B675" s="24" t="n"/>
      <c r="C675" s="29" t="n"/>
      <c r="D675" s="7">
        <f>IF(C675="","",C675*$B$1)</f>
        <v/>
      </c>
      <c r="E675" s="8">
        <f>IF(C675="","",C675-D675)</f>
        <v/>
      </c>
      <c r="F675" s="18">
        <f>IF(OR(B675="",C675=""),"",E675-B675)</f>
        <v/>
      </c>
      <c r="G675" s="20">
        <f>IF(OR(B675="",B675=0),"",F675/B675)</f>
        <v/>
      </c>
      <c r="H675" s="9" t="n"/>
    </row>
    <row r="676" ht="19.5" customHeight="1" s="49">
      <c r="A676" s="10" t="n"/>
      <c r="B676" s="25" t="n"/>
      <c r="C676" s="30" t="n"/>
      <c r="D676" s="11">
        <f>IF(C676="","",C676*$B$1)</f>
        <v/>
      </c>
      <c r="E676" s="12">
        <f>IF(C676="","",C676-D676)</f>
        <v/>
      </c>
      <c r="F676" s="19">
        <f>IF(OR(B676="",C676=""),"",E676-B676)</f>
        <v/>
      </c>
      <c r="G676" s="21">
        <f>IF(OR(B676="",B676=0),"",F676/B676)</f>
        <v/>
      </c>
      <c r="H676" s="13" t="n"/>
    </row>
    <row r="677" ht="19.5" customHeight="1" s="49">
      <c r="A677" s="6" t="n"/>
      <c r="B677" s="24" t="n"/>
      <c r="C677" s="29" t="n"/>
      <c r="D677" s="7">
        <f>IF(C677="","",C677*$B$1)</f>
        <v/>
      </c>
      <c r="E677" s="8">
        <f>IF(C677="","",C677-D677)</f>
        <v/>
      </c>
      <c r="F677" s="18">
        <f>IF(OR(B677="",C677=""),"",E677-B677)</f>
        <v/>
      </c>
      <c r="G677" s="20">
        <f>IF(OR(B677="",B677=0),"",F677/B677)</f>
        <v/>
      </c>
      <c r="H677" s="9" t="n"/>
    </row>
    <row r="678" ht="19.5" customHeight="1" s="49">
      <c r="A678" s="10" t="n"/>
      <c r="B678" s="25" t="n"/>
      <c r="C678" s="30" t="n"/>
      <c r="D678" s="11">
        <f>IF(C678="","",C678*$B$1)</f>
        <v/>
      </c>
      <c r="E678" s="12">
        <f>IF(C678="","",C678-D678)</f>
        <v/>
      </c>
      <c r="F678" s="19">
        <f>IF(OR(B678="",C678=""),"",E678-B678)</f>
        <v/>
      </c>
      <c r="G678" s="21">
        <f>IF(OR(B678="",B678=0),"",F678/B678)</f>
        <v/>
      </c>
      <c r="H678" s="13" t="n"/>
    </row>
    <row r="679" ht="19.5" customHeight="1" s="49">
      <c r="A679" s="6" t="n"/>
      <c r="B679" s="24" t="n"/>
      <c r="C679" s="29" t="n"/>
      <c r="D679" s="7">
        <f>IF(C679="","",C679*$B$1)</f>
        <v/>
      </c>
      <c r="E679" s="8">
        <f>IF(C679="","",C679-D679)</f>
        <v/>
      </c>
      <c r="F679" s="18">
        <f>IF(OR(B679="",C679=""),"",E679-B679)</f>
        <v/>
      </c>
      <c r="G679" s="20">
        <f>IF(OR(B679="",B679=0),"",F679/B679)</f>
        <v/>
      </c>
      <c r="H679" s="9" t="n"/>
    </row>
    <row r="680" ht="19.5" customHeight="1" s="49">
      <c r="A680" s="10" t="n"/>
      <c r="B680" s="25" t="n"/>
      <c r="C680" s="30" t="n"/>
      <c r="D680" s="11">
        <f>IF(C680="","",C680*$B$1)</f>
        <v/>
      </c>
      <c r="E680" s="12">
        <f>IF(C680="","",C680-D680)</f>
        <v/>
      </c>
      <c r="F680" s="19">
        <f>IF(OR(B680="",C680=""),"",E680-B680)</f>
        <v/>
      </c>
      <c r="G680" s="21">
        <f>IF(OR(B680="",B680=0),"",F680/B680)</f>
        <v/>
      </c>
      <c r="H680" s="13" t="n"/>
    </row>
    <row r="681" ht="19.5" customHeight="1" s="49">
      <c r="A681" s="6" t="n"/>
      <c r="B681" s="24" t="n"/>
      <c r="C681" s="29" t="n"/>
      <c r="D681" s="7">
        <f>IF(C681="","",C681*$B$1)</f>
        <v/>
      </c>
      <c r="E681" s="8">
        <f>IF(C681="","",C681-D681)</f>
        <v/>
      </c>
      <c r="F681" s="18">
        <f>IF(OR(B681="",C681=""),"",E681-B681)</f>
        <v/>
      </c>
      <c r="G681" s="20">
        <f>IF(OR(B681="",B681=0),"",F681/B681)</f>
        <v/>
      </c>
      <c r="H681" s="9" t="n"/>
    </row>
    <row r="682" ht="19.5" customHeight="1" s="49">
      <c r="A682" s="10" t="n"/>
      <c r="B682" s="25" t="n"/>
      <c r="C682" s="30" t="n"/>
      <c r="D682" s="11">
        <f>IF(C682="","",C682*$B$1)</f>
        <v/>
      </c>
      <c r="E682" s="12">
        <f>IF(C682="","",C682-D682)</f>
        <v/>
      </c>
      <c r="F682" s="19">
        <f>IF(OR(B682="",C682=""),"",E682-B682)</f>
        <v/>
      </c>
      <c r="G682" s="21">
        <f>IF(OR(B682="",B682=0),"",F682/B682)</f>
        <v/>
      </c>
      <c r="H682" s="13" t="n"/>
    </row>
    <row r="683" ht="19.5" customHeight="1" s="49">
      <c r="A683" s="6" t="n"/>
      <c r="B683" s="24" t="n"/>
      <c r="C683" s="29" t="n"/>
      <c r="D683" s="7">
        <f>IF(C683="","",C683*$B$1)</f>
        <v/>
      </c>
      <c r="E683" s="8">
        <f>IF(C683="","",C683-D683)</f>
        <v/>
      </c>
      <c r="F683" s="18">
        <f>IF(OR(B683="",C683=""),"",E683-B683)</f>
        <v/>
      </c>
      <c r="G683" s="20">
        <f>IF(OR(B683="",B683=0),"",F683/B683)</f>
        <v/>
      </c>
      <c r="H683" s="9" t="n"/>
    </row>
    <row r="684" ht="19.5" customHeight="1" s="49">
      <c r="A684" s="10" t="n"/>
      <c r="B684" s="25" t="n"/>
      <c r="C684" s="30" t="n"/>
      <c r="D684" s="11">
        <f>IF(C684="","",C684*$B$1)</f>
        <v/>
      </c>
      <c r="E684" s="12">
        <f>IF(C684="","",C684-D684)</f>
        <v/>
      </c>
      <c r="F684" s="19">
        <f>IF(OR(B684="",C684=""),"",E684-B684)</f>
        <v/>
      </c>
      <c r="G684" s="21">
        <f>IF(OR(B684="",B684=0),"",F684/B684)</f>
        <v/>
      </c>
      <c r="H684" s="13" t="n"/>
    </row>
    <row r="685" ht="19.5" customHeight="1" s="49">
      <c r="A685" s="6" t="n"/>
      <c r="B685" s="24" t="n"/>
      <c r="C685" s="29" t="n"/>
      <c r="D685" s="7">
        <f>IF(C685="","",C685*$B$1)</f>
        <v/>
      </c>
      <c r="E685" s="8">
        <f>IF(C685="","",C685-D685)</f>
        <v/>
      </c>
      <c r="F685" s="18">
        <f>IF(OR(B685="",C685=""),"",E685-B685)</f>
        <v/>
      </c>
      <c r="G685" s="20">
        <f>IF(OR(B685="",B685=0),"",F685/B685)</f>
        <v/>
      </c>
      <c r="H685" s="9" t="n"/>
    </row>
    <row r="686" ht="19.5" customHeight="1" s="49">
      <c r="A686" s="10" t="n"/>
      <c r="B686" s="25" t="n"/>
      <c r="C686" s="30" t="n"/>
      <c r="D686" s="11">
        <f>IF(C686="","",C686*$B$1)</f>
        <v/>
      </c>
      <c r="E686" s="12">
        <f>IF(C686="","",C686-D686)</f>
        <v/>
      </c>
      <c r="F686" s="19">
        <f>IF(OR(B686="",C686=""),"",E686-B686)</f>
        <v/>
      </c>
      <c r="G686" s="21">
        <f>IF(OR(B686="",B686=0),"",F686/B686)</f>
        <v/>
      </c>
      <c r="H686" s="13" t="n"/>
    </row>
    <row r="687" ht="19.5" customHeight="1" s="49">
      <c r="A687" s="6" t="n"/>
      <c r="B687" s="24" t="n"/>
      <c r="C687" s="29" t="n"/>
      <c r="D687" s="7">
        <f>IF(C687="","",C687*$B$1)</f>
        <v/>
      </c>
      <c r="E687" s="8">
        <f>IF(C687="","",C687-D687)</f>
        <v/>
      </c>
      <c r="F687" s="18">
        <f>IF(OR(B687="",C687=""),"",E687-B687)</f>
        <v/>
      </c>
      <c r="G687" s="20">
        <f>IF(OR(B687="",B687=0),"",F687/B687)</f>
        <v/>
      </c>
      <c r="H687" s="9" t="n"/>
    </row>
    <row r="688" ht="19.5" customHeight="1" s="49">
      <c r="A688" s="10" t="n"/>
      <c r="B688" s="25" t="n"/>
      <c r="C688" s="30" t="n"/>
      <c r="D688" s="11">
        <f>IF(C688="","",C688*$B$1)</f>
        <v/>
      </c>
      <c r="E688" s="12">
        <f>IF(C688="","",C688-D688)</f>
        <v/>
      </c>
      <c r="F688" s="19">
        <f>IF(OR(B688="",C688=""),"",E688-B688)</f>
        <v/>
      </c>
      <c r="G688" s="21">
        <f>IF(OR(B688="",B688=0),"",F688/B688)</f>
        <v/>
      </c>
      <c r="H688" s="13" t="n"/>
    </row>
    <row r="689" ht="19.5" customHeight="1" s="49">
      <c r="A689" s="6" t="n"/>
      <c r="B689" s="24" t="n"/>
      <c r="C689" s="29" t="n"/>
      <c r="D689" s="7">
        <f>IF(C689="","",C689*$B$1)</f>
        <v/>
      </c>
      <c r="E689" s="8">
        <f>IF(C689="","",C689-D689)</f>
        <v/>
      </c>
      <c r="F689" s="18">
        <f>IF(OR(B689="",C689=""),"",E689-B689)</f>
        <v/>
      </c>
      <c r="G689" s="20">
        <f>IF(OR(B689="",B689=0),"",F689/B689)</f>
        <v/>
      </c>
      <c r="H689" s="9" t="n"/>
    </row>
    <row r="690" ht="19.5" customHeight="1" s="49">
      <c r="A690" s="10" t="n"/>
      <c r="B690" s="25" t="n"/>
      <c r="C690" s="30" t="n"/>
      <c r="D690" s="11">
        <f>IF(C690="","",C690*$B$1)</f>
        <v/>
      </c>
      <c r="E690" s="12">
        <f>IF(C690="","",C690-D690)</f>
        <v/>
      </c>
      <c r="F690" s="19">
        <f>IF(OR(B690="",C690=""),"",E690-B690)</f>
        <v/>
      </c>
      <c r="G690" s="21">
        <f>IF(OR(B690="",B690=0),"",F690/B690)</f>
        <v/>
      </c>
      <c r="H690" s="13" t="n"/>
    </row>
    <row r="691" ht="19.5" customHeight="1" s="49">
      <c r="A691" s="6" t="n"/>
      <c r="B691" s="24" t="n"/>
      <c r="C691" s="29" t="n"/>
      <c r="D691" s="7">
        <f>IF(C691="","",C691*$B$1)</f>
        <v/>
      </c>
      <c r="E691" s="8">
        <f>IF(C691="","",C691-D691)</f>
        <v/>
      </c>
      <c r="F691" s="18">
        <f>IF(OR(B691="",C691=""),"",E691-B691)</f>
        <v/>
      </c>
      <c r="G691" s="20">
        <f>IF(OR(B691="",B691=0),"",F691/B691)</f>
        <v/>
      </c>
      <c r="H691" s="9" t="n"/>
    </row>
    <row r="692" ht="19.5" customHeight="1" s="49">
      <c r="A692" s="10" t="n"/>
      <c r="B692" s="25" t="n"/>
      <c r="C692" s="30" t="n"/>
      <c r="D692" s="11">
        <f>IF(C692="","",C692*$B$1)</f>
        <v/>
      </c>
      <c r="E692" s="12">
        <f>IF(C692="","",C692-D692)</f>
        <v/>
      </c>
      <c r="F692" s="19">
        <f>IF(OR(B692="",C692=""),"",E692-B692)</f>
        <v/>
      </c>
      <c r="G692" s="21">
        <f>IF(OR(B692="",B692=0),"",F692/B692)</f>
        <v/>
      </c>
      <c r="H692" s="13" t="n"/>
    </row>
    <row r="693" ht="19.5" customHeight="1" s="49">
      <c r="A693" s="6" t="n"/>
      <c r="B693" s="24" t="n"/>
      <c r="C693" s="29" t="n"/>
      <c r="D693" s="7">
        <f>IF(C693="","",C693*$B$1)</f>
        <v/>
      </c>
      <c r="E693" s="8">
        <f>IF(C693="","",C693-D693)</f>
        <v/>
      </c>
      <c r="F693" s="18">
        <f>IF(OR(B693="",C693=""),"",E693-B693)</f>
        <v/>
      </c>
      <c r="G693" s="20">
        <f>IF(OR(B693="",B693=0),"",F693/B693)</f>
        <v/>
      </c>
      <c r="H693" s="9" t="n"/>
    </row>
    <row r="694" ht="19.5" customHeight="1" s="49">
      <c r="A694" s="10" t="n"/>
      <c r="B694" s="25" t="n"/>
      <c r="C694" s="30" t="n"/>
      <c r="D694" s="11">
        <f>IF(C694="","",C694*$B$1)</f>
        <v/>
      </c>
      <c r="E694" s="12">
        <f>IF(C694="","",C694-D694)</f>
        <v/>
      </c>
      <c r="F694" s="19">
        <f>IF(OR(B694="",C694=""),"",E694-B694)</f>
        <v/>
      </c>
      <c r="G694" s="21">
        <f>IF(OR(B694="",B694=0),"",F694/B694)</f>
        <v/>
      </c>
      <c r="H694" s="13" t="n"/>
    </row>
    <row r="695" ht="19.5" customHeight="1" s="49">
      <c r="A695" s="6" t="n"/>
      <c r="B695" s="24" t="n"/>
      <c r="C695" s="29" t="n"/>
      <c r="D695" s="7">
        <f>IF(C695="","",C695*$B$1)</f>
        <v/>
      </c>
      <c r="E695" s="8">
        <f>IF(C695="","",C695-D695)</f>
        <v/>
      </c>
      <c r="F695" s="18">
        <f>IF(OR(B695="",C695=""),"",E695-B695)</f>
        <v/>
      </c>
      <c r="G695" s="20">
        <f>IF(OR(B695="",B695=0),"",F695/B695)</f>
        <v/>
      </c>
      <c r="H695" s="9" t="n"/>
    </row>
    <row r="696" ht="19.5" customHeight="1" s="49">
      <c r="A696" s="10" t="n"/>
      <c r="B696" s="25" t="n"/>
      <c r="C696" s="30" t="n"/>
      <c r="D696" s="11">
        <f>IF(C696="","",C696*$B$1)</f>
        <v/>
      </c>
      <c r="E696" s="12">
        <f>IF(C696="","",C696-D696)</f>
        <v/>
      </c>
      <c r="F696" s="19">
        <f>IF(OR(B696="",C696=""),"",E696-B696)</f>
        <v/>
      </c>
      <c r="G696" s="21">
        <f>IF(OR(B696="",B696=0),"",F696/B696)</f>
        <v/>
      </c>
      <c r="H696" s="13" t="n"/>
    </row>
    <row r="697" ht="19.5" customHeight="1" s="49">
      <c r="A697" s="6" t="n"/>
      <c r="B697" s="24" t="n"/>
      <c r="C697" s="29" t="n"/>
      <c r="D697" s="7">
        <f>IF(C697="","",C697*$B$1)</f>
        <v/>
      </c>
      <c r="E697" s="8">
        <f>IF(C697="","",C697-D697)</f>
        <v/>
      </c>
      <c r="F697" s="18">
        <f>IF(OR(B697="",C697=""),"",E697-B697)</f>
        <v/>
      </c>
      <c r="G697" s="20">
        <f>IF(OR(B697="",B697=0),"",F697/B697)</f>
        <v/>
      </c>
      <c r="H697" s="9" t="n"/>
    </row>
    <row r="698" ht="19.5" customHeight="1" s="49">
      <c r="A698" s="10" t="n"/>
      <c r="B698" s="25" t="n"/>
      <c r="C698" s="30" t="n"/>
      <c r="D698" s="11">
        <f>IF(C698="","",C698*$B$1)</f>
        <v/>
      </c>
      <c r="E698" s="12">
        <f>IF(C698="","",C698-D698)</f>
        <v/>
      </c>
      <c r="F698" s="19">
        <f>IF(OR(B698="",C698=""),"",E698-B698)</f>
        <v/>
      </c>
      <c r="G698" s="21">
        <f>IF(OR(B698="",B698=0),"",F698/B698)</f>
        <v/>
      </c>
      <c r="H698" s="13" t="n"/>
    </row>
    <row r="699" ht="19.5" customHeight="1" s="49">
      <c r="A699" s="6" t="n"/>
      <c r="B699" s="24" t="n"/>
      <c r="C699" s="29" t="n"/>
      <c r="D699" s="7">
        <f>IF(C699="","",C699*$B$1)</f>
        <v/>
      </c>
      <c r="E699" s="8">
        <f>IF(C699="","",C699-D699)</f>
        <v/>
      </c>
      <c r="F699" s="18">
        <f>IF(OR(B699="",C699=""),"",E699-B699)</f>
        <v/>
      </c>
      <c r="G699" s="20">
        <f>IF(OR(B699="",B699=0),"",F699/B699)</f>
        <v/>
      </c>
      <c r="H699" s="9" t="n"/>
    </row>
    <row r="700" ht="19.5" customHeight="1" s="49">
      <c r="A700" s="10" t="n"/>
      <c r="B700" s="25" t="n"/>
      <c r="C700" s="30" t="n"/>
      <c r="D700" s="11">
        <f>IF(C700="","",C700*$B$1)</f>
        <v/>
      </c>
      <c r="E700" s="12">
        <f>IF(C700="","",C700-D700)</f>
        <v/>
      </c>
      <c r="F700" s="19">
        <f>IF(OR(B700="",C700=""),"",E700-B700)</f>
        <v/>
      </c>
      <c r="G700" s="21">
        <f>IF(OR(B700="",B700=0),"",F700/B700)</f>
        <v/>
      </c>
      <c r="H700" s="13" t="n"/>
    </row>
    <row r="701" ht="19.5" customHeight="1" s="49">
      <c r="A701" s="6" t="n"/>
      <c r="B701" s="24" t="n"/>
      <c r="C701" s="29" t="n"/>
      <c r="D701" s="7">
        <f>IF(C701="","",C701*$B$1)</f>
        <v/>
      </c>
      <c r="E701" s="8">
        <f>IF(C701="","",C701-D701)</f>
        <v/>
      </c>
      <c r="F701" s="18">
        <f>IF(OR(B701="",C701=""),"",E701-B701)</f>
        <v/>
      </c>
      <c r="G701" s="20">
        <f>IF(OR(B701="",B701=0),"",F701/B701)</f>
        <v/>
      </c>
      <c r="H701" s="9" t="n"/>
    </row>
    <row r="702" ht="19.5" customHeight="1" s="49">
      <c r="A702" s="10" t="n"/>
      <c r="B702" s="25" t="n"/>
      <c r="C702" s="30" t="n"/>
      <c r="D702" s="11">
        <f>IF(C702="","",C702*$B$1)</f>
        <v/>
      </c>
      <c r="E702" s="12">
        <f>IF(C702="","",C702-D702)</f>
        <v/>
      </c>
      <c r="F702" s="19">
        <f>IF(OR(B702="",C702=""),"",E702-B702)</f>
        <v/>
      </c>
      <c r="G702" s="21">
        <f>IF(OR(B702="",B702=0),"",F702/B702)</f>
        <v/>
      </c>
      <c r="H702" s="13" t="n"/>
    </row>
    <row r="703" ht="19.5" customHeight="1" s="49">
      <c r="A703" s="6" t="n"/>
      <c r="B703" s="24" t="n"/>
      <c r="C703" s="29" t="n"/>
      <c r="D703" s="7">
        <f>IF(C703="","",C703*$B$1)</f>
        <v/>
      </c>
      <c r="E703" s="8">
        <f>IF(C703="","",C703-D703)</f>
        <v/>
      </c>
      <c r="F703" s="18">
        <f>IF(OR(B703="",C703=""),"",E703-B703)</f>
        <v/>
      </c>
      <c r="G703" s="20">
        <f>IF(OR(B703="",B703=0),"",F703/B703)</f>
        <v/>
      </c>
      <c r="H703" s="9" t="n"/>
    </row>
    <row r="704" ht="19.5" customHeight="1" s="49">
      <c r="A704" s="10" t="n"/>
      <c r="B704" s="25" t="n"/>
      <c r="C704" s="30" t="n"/>
      <c r="D704" s="11">
        <f>IF(C704="","",C704*$B$1)</f>
        <v/>
      </c>
      <c r="E704" s="12">
        <f>IF(C704="","",C704-D704)</f>
        <v/>
      </c>
      <c r="F704" s="19">
        <f>IF(OR(B704="",C704=""),"",E704-B704)</f>
        <v/>
      </c>
      <c r="G704" s="21">
        <f>IF(OR(B704="",B704=0),"",F704/B704)</f>
        <v/>
      </c>
      <c r="H704" s="13" t="n"/>
    </row>
    <row r="705" ht="19.5" customHeight="1" s="49">
      <c r="A705" s="6" t="n"/>
      <c r="B705" s="24" t="n"/>
      <c r="C705" s="29" t="n"/>
      <c r="D705" s="7">
        <f>IF(C705="","",C705*$B$1)</f>
        <v/>
      </c>
      <c r="E705" s="8">
        <f>IF(C705="","",C705-D705)</f>
        <v/>
      </c>
      <c r="F705" s="18">
        <f>IF(OR(B705="",C705=""),"",E705-B705)</f>
        <v/>
      </c>
      <c r="G705" s="20">
        <f>IF(OR(B705="",B705=0),"",F705/B705)</f>
        <v/>
      </c>
      <c r="H705" s="9" t="n"/>
    </row>
    <row r="706" ht="19.5" customHeight="1" s="49">
      <c r="A706" s="10" t="n"/>
      <c r="B706" s="25" t="n"/>
      <c r="C706" s="30" t="n"/>
      <c r="D706" s="11">
        <f>IF(C706="","",C706*$B$1)</f>
        <v/>
      </c>
      <c r="E706" s="12">
        <f>IF(C706="","",C706-D706)</f>
        <v/>
      </c>
      <c r="F706" s="19">
        <f>IF(OR(B706="",C706=""),"",E706-B706)</f>
        <v/>
      </c>
      <c r="G706" s="21">
        <f>IF(OR(B706="",B706=0),"",F706/B706)</f>
        <v/>
      </c>
      <c r="H706" s="13" t="n"/>
    </row>
    <row r="707" ht="19.5" customHeight="1" s="49">
      <c r="A707" s="6" t="n"/>
      <c r="B707" s="24" t="n"/>
      <c r="C707" s="29" t="n"/>
      <c r="D707" s="7">
        <f>IF(C707="","",C707*$B$1)</f>
        <v/>
      </c>
      <c r="E707" s="8">
        <f>IF(C707="","",C707-D707)</f>
        <v/>
      </c>
      <c r="F707" s="18">
        <f>IF(OR(B707="",C707=""),"",E707-B707)</f>
        <v/>
      </c>
      <c r="G707" s="20">
        <f>IF(OR(B707="",B707=0),"",F707/B707)</f>
        <v/>
      </c>
      <c r="H707" s="9" t="n"/>
    </row>
    <row r="708" ht="19.5" customHeight="1" s="49">
      <c r="A708" s="10" t="n"/>
      <c r="B708" s="25" t="n"/>
      <c r="C708" s="30" t="n"/>
      <c r="D708" s="11">
        <f>IF(C708="","",C708*$B$1)</f>
        <v/>
      </c>
      <c r="E708" s="12">
        <f>IF(C708="","",C708-D708)</f>
        <v/>
      </c>
      <c r="F708" s="19">
        <f>IF(OR(B708="",C708=""),"",E708-B708)</f>
        <v/>
      </c>
      <c r="G708" s="21">
        <f>IF(OR(B708="",B708=0),"",F708/B708)</f>
        <v/>
      </c>
      <c r="H708" s="13" t="n"/>
    </row>
    <row r="709" ht="19.5" customHeight="1" s="49">
      <c r="A709" s="6" t="n"/>
      <c r="B709" s="24" t="n"/>
      <c r="C709" s="29" t="n"/>
      <c r="D709" s="7">
        <f>IF(C709="","",C709*$B$1)</f>
        <v/>
      </c>
      <c r="E709" s="8">
        <f>IF(C709="","",C709-D709)</f>
        <v/>
      </c>
      <c r="F709" s="18">
        <f>IF(OR(B709="",C709=""),"",E709-B709)</f>
        <v/>
      </c>
      <c r="G709" s="20">
        <f>IF(OR(B709="",B709=0),"",F709/B709)</f>
        <v/>
      </c>
      <c r="H709" s="9" t="n"/>
    </row>
    <row r="710" ht="19.5" customHeight="1" s="49">
      <c r="A710" s="10" t="n"/>
      <c r="B710" s="25" t="n"/>
      <c r="C710" s="30" t="n"/>
      <c r="D710" s="11">
        <f>IF(C710="","",C710*$B$1)</f>
        <v/>
      </c>
      <c r="E710" s="12">
        <f>IF(C710="","",C710-D710)</f>
        <v/>
      </c>
      <c r="F710" s="19">
        <f>IF(OR(B710="",C710=""),"",E710-B710)</f>
        <v/>
      </c>
      <c r="G710" s="21">
        <f>IF(OR(B710="",B710=0),"",F710/B710)</f>
        <v/>
      </c>
      <c r="H710" s="13" t="n"/>
    </row>
    <row r="711" ht="19.5" customHeight="1" s="49">
      <c r="A711" s="6" t="n"/>
      <c r="B711" s="24" t="n"/>
      <c r="C711" s="29" t="n"/>
      <c r="D711" s="7">
        <f>IF(C711="","",C711*$B$1)</f>
        <v/>
      </c>
      <c r="E711" s="8">
        <f>IF(C711="","",C711-D711)</f>
        <v/>
      </c>
      <c r="F711" s="18">
        <f>IF(OR(B711="",C711=""),"",E711-B711)</f>
        <v/>
      </c>
      <c r="G711" s="20">
        <f>IF(OR(B711="",B711=0),"",F711/B711)</f>
        <v/>
      </c>
      <c r="H711" s="9" t="n"/>
    </row>
    <row r="712" ht="19.5" customHeight="1" s="49">
      <c r="A712" s="10" t="n"/>
      <c r="B712" s="25" t="n"/>
      <c r="C712" s="30" t="n"/>
      <c r="D712" s="11">
        <f>IF(C712="","",C712*$B$1)</f>
        <v/>
      </c>
      <c r="E712" s="12">
        <f>IF(C712="","",C712-D712)</f>
        <v/>
      </c>
      <c r="F712" s="19">
        <f>IF(OR(B712="",C712=""),"",E712-B712)</f>
        <v/>
      </c>
      <c r="G712" s="21">
        <f>IF(OR(B712="",B712=0),"",F712/B712)</f>
        <v/>
      </c>
      <c r="H712" s="13" t="n"/>
    </row>
    <row r="713" ht="19.5" customHeight="1" s="49">
      <c r="A713" s="6" t="n"/>
      <c r="B713" s="24" t="n"/>
      <c r="C713" s="29" t="n"/>
      <c r="D713" s="7">
        <f>IF(C713="","",C713*$B$1)</f>
        <v/>
      </c>
      <c r="E713" s="8">
        <f>IF(C713="","",C713-D713)</f>
        <v/>
      </c>
      <c r="F713" s="18">
        <f>IF(OR(B713="",C713=""),"",E713-B713)</f>
        <v/>
      </c>
      <c r="G713" s="20">
        <f>IF(OR(B713="",B713=0),"",F713/B713)</f>
        <v/>
      </c>
      <c r="H713" s="9" t="n"/>
    </row>
    <row r="714" ht="19.5" customHeight="1" s="49">
      <c r="A714" s="10" t="n"/>
      <c r="B714" s="25" t="n"/>
      <c r="C714" s="30" t="n"/>
      <c r="D714" s="11">
        <f>IF(C714="","",C714*$B$1)</f>
        <v/>
      </c>
      <c r="E714" s="12">
        <f>IF(C714="","",C714-D714)</f>
        <v/>
      </c>
      <c r="F714" s="19">
        <f>IF(OR(B714="",C714=""),"",E714-B714)</f>
        <v/>
      </c>
      <c r="G714" s="21">
        <f>IF(OR(B714="",B714=0),"",F714/B714)</f>
        <v/>
      </c>
      <c r="H714" s="13" t="n"/>
    </row>
    <row r="715" ht="19.5" customHeight="1" s="49">
      <c r="A715" s="6" t="n"/>
      <c r="B715" s="24" t="n"/>
      <c r="C715" s="29" t="n"/>
      <c r="D715" s="7">
        <f>IF(C715="","",C715*$B$1)</f>
        <v/>
      </c>
      <c r="E715" s="8">
        <f>IF(C715="","",C715-D715)</f>
        <v/>
      </c>
      <c r="F715" s="18">
        <f>IF(OR(B715="",C715=""),"",E715-B715)</f>
        <v/>
      </c>
      <c r="G715" s="20">
        <f>IF(OR(B715="",B715=0),"",F715/B715)</f>
        <v/>
      </c>
      <c r="H715" s="9" t="n"/>
    </row>
    <row r="716" ht="19.5" customHeight="1" s="49">
      <c r="A716" s="10" t="n"/>
      <c r="B716" s="25" t="n"/>
      <c r="C716" s="30" t="n"/>
      <c r="D716" s="11">
        <f>IF(C716="","",C716*$B$1)</f>
        <v/>
      </c>
      <c r="E716" s="12">
        <f>IF(C716="","",C716-D716)</f>
        <v/>
      </c>
      <c r="F716" s="19">
        <f>IF(OR(B716="",C716=""),"",E716-B716)</f>
        <v/>
      </c>
      <c r="G716" s="21">
        <f>IF(OR(B716="",B716=0),"",F716/B716)</f>
        <v/>
      </c>
      <c r="H716" s="13" t="n"/>
    </row>
    <row r="717" ht="19.5" customHeight="1" s="49">
      <c r="A717" s="6" t="n"/>
      <c r="B717" s="24" t="n"/>
      <c r="C717" s="29" t="n"/>
      <c r="D717" s="7">
        <f>IF(C717="","",C717*$B$1)</f>
        <v/>
      </c>
      <c r="E717" s="8">
        <f>IF(C717="","",C717-D717)</f>
        <v/>
      </c>
      <c r="F717" s="18">
        <f>IF(OR(B717="",C717=""),"",E717-B717)</f>
        <v/>
      </c>
      <c r="G717" s="20">
        <f>IF(OR(B717="",B717=0),"",F717/B717)</f>
        <v/>
      </c>
      <c r="H717" s="9" t="n"/>
    </row>
    <row r="718" ht="19.5" customHeight="1" s="49">
      <c r="A718" s="10" t="n"/>
      <c r="B718" s="25" t="n"/>
      <c r="C718" s="30" t="n"/>
      <c r="D718" s="11">
        <f>IF(C718="","",C718*$B$1)</f>
        <v/>
      </c>
      <c r="E718" s="12">
        <f>IF(C718="","",C718-D718)</f>
        <v/>
      </c>
      <c r="F718" s="19">
        <f>IF(OR(B718="",C718=""),"",E718-B718)</f>
        <v/>
      </c>
      <c r="G718" s="21">
        <f>IF(OR(B718="",B718=0),"",F718/B718)</f>
        <v/>
      </c>
      <c r="H718" s="13" t="n"/>
    </row>
    <row r="719" ht="19.5" customHeight="1" s="49">
      <c r="A719" s="6" t="n"/>
      <c r="B719" s="24" t="n"/>
      <c r="C719" s="29" t="n"/>
      <c r="D719" s="7">
        <f>IF(C719="","",C719*$B$1)</f>
        <v/>
      </c>
      <c r="E719" s="8">
        <f>IF(C719="","",C719-D719)</f>
        <v/>
      </c>
      <c r="F719" s="18">
        <f>IF(OR(B719="",C719=""),"",E719-B719)</f>
        <v/>
      </c>
      <c r="G719" s="20">
        <f>IF(OR(B719="",B719=0),"",F719/B719)</f>
        <v/>
      </c>
      <c r="H719" s="9" t="n"/>
    </row>
    <row r="720" ht="19.5" customHeight="1" s="49">
      <c r="A720" s="10" t="n"/>
      <c r="B720" s="25" t="n"/>
      <c r="C720" s="30" t="n"/>
      <c r="D720" s="11">
        <f>IF(C720="","",C720*$B$1)</f>
        <v/>
      </c>
      <c r="E720" s="12">
        <f>IF(C720="","",C720-D720)</f>
        <v/>
      </c>
      <c r="F720" s="19">
        <f>IF(OR(B720="",C720=""),"",E720-B720)</f>
        <v/>
      </c>
      <c r="G720" s="21">
        <f>IF(OR(B720="",B720=0),"",F720/B720)</f>
        <v/>
      </c>
      <c r="H720" s="13" t="n"/>
    </row>
    <row r="721" ht="19.5" customHeight="1" s="49">
      <c r="A721" s="6" t="n"/>
      <c r="B721" s="24" t="n"/>
      <c r="C721" s="29" t="n"/>
      <c r="D721" s="7">
        <f>IF(C721="","",C721*$B$1)</f>
        <v/>
      </c>
      <c r="E721" s="8">
        <f>IF(C721="","",C721-D721)</f>
        <v/>
      </c>
      <c r="F721" s="18">
        <f>IF(OR(B721="",C721=""),"",E721-B721)</f>
        <v/>
      </c>
      <c r="G721" s="20">
        <f>IF(OR(B721="",B721=0),"",F721/B721)</f>
        <v/>
      </c>
      <c r="H721" s="9" t="n"/>
    </row>
    <row r="722" ht="19.5" customHeight="1" s="49">
      <c r="A722" s="10" t="n"/>
      <c r="B722" s="25" t="n"/>
      <c r="C722" s="30" t="n"/>
      <c r="D722" s="11">
        <f>IF(C722="","",C722*$B$1)</f>
        <v/>
      </c>
      <c r="E722" s="12">
        <f>IF(C722="","",C722-D722)</f>
        <v/>
      </c>
      <c r="F722" s="19">
        <f>IF(OR(B722="",C722=""),"",E722-B722)</f>
        <v/>
      </c>
      <c r="G722" s="21">
        <f>IF(OR(B722="",B722=0),"",F722/B722)</f>
        <v/>
      </c>
      <c r="H722" s="13" t="n"/>
    </row>
    <row r="723" ht="19.5" customHeight="1" s="49">
      <c r="A723" s="6" t="n"/>
      <c r="B723" s="24" t="n"/>
      <c r="C723" s="29" t="n"/>
      <c r="D723" s="7">
        <f>IF(C723="","",C723*$B$1)</f>
        <v/>
      </c>
      <c r="E723" s="8">
        <f>IF(C723="","",C723-D723)</f>
        <v/>
      </c>
      <c r="F723" s="18">
        <f>IF(OR(B723="",C723=""),"",E723-B723)</f>
        <v/>
      </c>
      <c r="G723" s="20">
        <f>IF(OR(B723="",B723=0),"",F723/B723)</f>
        <v/>
      </c>
      <c r="H723" s="9" t="n"/>
    </row>
    <row r="724" ht="19.5" customHeight="1" s="49">
      <c r="A724" s="10" t="n"/>
      <c r="B724" s="25" t="n"/>
      <c r="C724" s="30" t="n"/>
      <c r="D724" s="11">
        <f>IF(C724="","",C724*$B$1)</f>
        <v/>
      </c>
      <c r="E724" s="12">
        <f>IF(C724="","",C724-D724)</f>
        <v/>
      </c>
      <c r="F724" s="19">
        <f>IF(OR(B724="",C724=""),"",E724-B724)</f>
        <v/>
      </c>
      <c r="G724" s="21">
        <f>IF(OR(B724="",B724=0),"",F724/B724)</f>
        <v/>
      </c>
      <c r="H724" s="13" t="n"/>
    </row>
    <row r="725" ht="19.5" customHeight="1" s="49">
      <c r="A725" s="6" t="n"/>
      <c r="B725" s="24" t="n"/>
      <c r="C725" s="29" t="n"/>
      <c r="D725" s="7">
        <f>IF(C725="","",C725*$B$1)</f>
        <v/>
      </c>
      <c r="E725" s="8">
        <f>IF(C725="","",C725-D725)</f>
        <v/>
      </c>
      <c r="F725" s="18">
        <f>IF(OR(B725="",C725=""),"",E725-B725)</f>
        <v/>
      </c>
      <c r="G725" s="20">
        <f>IF(OR(B725="",B725=0),"",F725/B725)</f>
        <v/>
      </c>
      <c r="H725" s="9" t="n"/>
    </row>
    <row r="726" ht="19.5" customHeight="1" s="49">
      <c r="A726" s="10" t="n"/>
      <c r="B726" s="25" t="n"/>
      <c r="C726" s="30" t="n"/>
      <c r="D726" s="11">
        <f>IF(C726="","",C726*$B$1)</f>
        <v/>
      </c>
      <c r="E726" s="12">
        <f>IF(C726="","",C726-D726)</f>
        <v/>
      </c>
      <c r="F726" s="19">
        <f>IF(OR(B726="",C726=""),"",E726-B726)</f>
        <v/>
      </c>
      <c r="G726" s="21">
        <f>IF(OR(B726="",B726=0),"",F726/B726)</f>
        <v/>
      </c>
      <c r="H726" s="13" t="n"/>
    </row>
    <row r="727" ht="19.5" customHeight="1" s="49">
      <c r="A727" s="6" t="n"/>
      <c r="B727" s="24" t="n"/>
      <c r="C727" s="29" t="n"/>
      <c r="D727" s="7">
        <f>IF(C727="","",C727*$B$1)</f>
        <v/>
      </c>
      <c r="E727" s="8">
        <f>IF(C727="","",C727-D727)</f>
        <v/>
      </c>
      <c r="F727" s="18">
        <f>IF(OR(B727="",C727=""),"",E727-B727)</f>
        <v/>
      </c>
      <c r="G727" s="20">
        <f>IF(OR(B727="",B727=0),"",F727/B727)</f>
        <v/>
      </c>
      <c r="H727" s="9" t="n"/>
    </row>
    <row r="728" ht="19.5" customHeight="1" s="49">
      <c r="A728" s="10" t="n"/>
      <c r="B728" s="25" t="n"/>
      <c r="C728" s="30" t="n"/>
      <c r="D728" s="11">
        <f>IF(C728="","",C728*$B$1)</f>
        <v/>
      </c>
      <c r="E728" s="12">
        <f>IF(C728="","",C728-D728)</f>
        <v/>
      </c>
      <c r="F728" s="19">
        <f>IF(OR(B728="",C728=""),"",E728-B728)</f>
        <v/>
      </c>
      <c r="G728" s="21">
        <f>IF(OR(B728="",B728=0),"",F728/B728)</f>
        <v/>
      </c>
      <c r="H728" s="13" t="n"/>
    </row>
    <row r="729" ht="19.5" customHeight="1" s="49">
      <c r="A729" s="6" t="n"/>
      <c r="B729" s="24" t="n"/>
      <c r="C729" s="29" t="n"/>
      <c r="D729" s="7">
        <f>IF(C729="","",C729*$B$1)</f>
        <v/>
      </c>
      <c r="E729" s="8">
        <f>IF(C729="","",C729-D729)</f>
        <v/>
      </c>
      <c r="F729" s="18">
        <f>IF(OR(B729="",C729=""),"",E729-B729)</f>
        <v/>
      </c>
      <c r="G729" s="20">
        <f>IF(OR(B729="",B729=0),"",F729/B729)</f>
        <v/>
      </c>
      <c r="H729" s="9" t="n"/>
    </row>
    <row r="730" ht="19.5" customHeight="1" s="49">
      <c r="A730" s="10" t="n"/>
      <c r="B730" s="25" t="n"/>
      <c r="C730" s="30" t="n"/>
      <c r="D730" s="11">
        <f>IF(C730="","",C730*$B$1)</f>
        <v/>
      </c>
      <c r="E730" s="12">
        <f>IF(C730="","",C730-D730)</f>
        <v/>
      </c>
      <c r="F730" s="19">
        <f>IF(OR(B730="",C730=""),"",E730-B730)</f>
        <v/>
      </c>
      <c r="G730" s="21">
        <f>IF(OR(B730="",B730=0),"",F730/B730)</f>
        <v/>
      </c>
      <c r="H730" s="13" t="n"/>
    </row>
    <row r="731" ht="19.5" customHeight="1" s="49">
      <c r="A731" s="6" t="n"/>
      <c r="B731" s="24" t="n"/>
      <c r="C731" s="29" t="n"/>
      <c r="D731" s="7">
        <f>IF(C731="","",C731*$B$1)</f>
        <v/>
      </c>
      <c r="E731" s="8">
        <f>IF(C731="","",C731-D731)</f>
        <v/>
      </c>
      <c r="F731" s="18">
        <f>IF(OR(B731="",C731=""),"",E731-B731)</f>
        <v/>
      </c>
      <c r="G731" s="20">
        <f>IF(OR(B731="",B731=0),"",F731/B731)</f>
        <v/>
      </c>
      <c r="H731" s="9" t="n"/>
    </row>
    <row r="732" ht="19.5" customHeight="1" s="49">
      <c r="A732" s="10" t="n"/>
      <c r="B732" s="25" t="n"/>
      <c r="C732" s="30" t="n"/>
      <c r="D732" s="11">
        <f>IF(C732="","",C732*$B$1)</f>
        <v/>
      </c>
      <c r="E732" s="12">
        <f>IF(C732="","",C732-D732)</f>
        <v/>
      </c>
      <c r="F732" s="19">
        <f>IF(OR(B732="",C732=""),"",E732-B732)</f>
        <v/>
      </c>
      <c r="G732" s="21">
        <f>IF(OR(B732="",B732=0),"",F732/B732)</f>
        <v/>
      </c>
      <c r="H732" s="13" t="n"/>
    </row>
    <row r="733" ht="19.5" customHeight="1" s="49">
      <c r="A733" s="6" t="n"/>
      <c r="B733" s="24" t="n"/>
      <c r="C733" s="29" t="n"/>
      <c r="D733" s="7">
        <f>IF(C733="","",C733*$B$1)</f>
        <v/>
      </c>
      <c r="E733" s="8">
        <f>IF(C733="","",C733-D733)</f>
        <v/>
      </c>
      <c r="F733" s="18">
        <f>IF(OR(B733="",C733=""),"",E733-B733)</f>
        <v/>
      </c>
      <c r="G733" s="20">
        <f>IF(OR(B733="",B733=0),"",F733/B733)</f>
        <v/>
      </c>
      <c r="H733" s="9" t="n"/>
    </row>
    <row r="734" ht="19.5" customHeight="1" s="49">
      <c r="A734" s="10" t="n"/>
      <c r="B734" s="25" t="n"/>
      <c r="C734" s="30" t="n"/>
      <c r="D734" s="11">
        <f>IF(C734="","",C734*$B$1)</f>
        <v/>
      </c>
      <c r="E734" s="12">
        <f>IF(C734="","",C734-D734)</f>
        <v/>
      </c>
      <c r="F734" s="19">
        <f>IF(OR(B734="",C734=""),"",E734-B734)</f>
        <v/>
      </c>
      <c r="G734" s="21">
        <f>IF(OR(B734="",B734=0),"",F734/B734)</f>
        <v/>
      </c>
      <c r="H734" s="13" t="n"/>
    </row>
    <row r="735" ht="19.5" customHeight="1" s="49">
      <c r="A735" s="6" t="n"/>
      <c r="B735" s="24" t="n"/>
      <c r="C735" s="29" t="n"/>
      <c r="D735" s="7">
        <f>IF(C735="","",C735*$B$1)</f>
        <v/>
      </c>
      <c r="E735" s="8">
        <f>IF(C735="","",C735-D735)</f>
        <v/>
      </c>
      <c r="F735" s="18">
        <f>IF(OR(B735="",C735=""),"",E735-B735)</f>
        <v/>
      </c>
      <c r="G735" s="20">
        <f>IF(OR(B735="",B735=0),"",F735/B735)</f>
        <v/>
      </c>
      <c r="H735" s="9" t="n"/>
    </row>
    <row r="736" ht="19.5" customHeight="1" s="49">
      <c r="A736" s="10" t="n"/>
      <c r="B736" s="25" t="n"/>
      <c r="C736" s="30" t="n"/>
      <c r="D736" s="11">
        <f>IF(C736="","",C736*$B$1)</f>
        <v/>
      </c>
      <c r="E736" s="12">
        <f>IF(C736="","",C736-D736)</f>
        <v/>
      </c>
      <c r="F736" s="19">
        <f>IF(OR(B736="",C736=""),"",E736-B736)</f>
        <v/>
      </c>
      <c r="G736" s="21">
        <f>IF(OR(B736="",B736=0),"",F736/B736)</f>
        <v/>
      </c>
      <c r="H736" s="13" t="n"/>
    </row>
    <row r="737" ht="19.5" customHeight="1" s="49">
      <c r="A737" s="6" t="n"/>
      <c r="B737" s="24" t="n"/>
      <c r="C737" s="29" t="n"/>
      <c r="D737" s="7">
        <f>IF(C737="","",C737*$B$1)</f>
        <v/>
      </c>
      <c r="E737" s="8">
        <f>IF(C737="","",C737-D737)</f>
        <v/>
      </c>
      <c r="F737" s="18">
        <f>IF(OR(B737="",C737=""),"",E737-B737)</f>
        <v/>
      </c>
      <c r="G737" s="20">
        <f>IF(OR(B737="",B737=0),"",F737/B737)</f>
        <v/>
      </c>
      <c r="H737" s="9" t="n"/>
    </row>
    <row r="738" ht="19.5" customHeight="1" s="49">
      <c r="A738" s="10" t="n"/>
      <c r="B738" s="25" t="n"/>
      <c r="C738" s="30" t="n"/>
      <c r="D738" s="11">
        <f>IF(C738="","",C738*$B$1)</f>
        <v/>
      </c>
      <c r="E738" s="12">
        <f>IF(C738="","",C738-D738)</f>
        <v/>
      </c>
      <c r="F738" s="19">
        <f>IF(OR(B738="",C738=""),"",E738-B738)</f>
        <v/>
      </c>
      <c r="G738" s="21">
        <f>IF(OR(B738="",B738=0),"",F738/B738)</f>
        <v/>
      </c>
      <c r="H738" s="13" t="n"/>
    </row>
    <row r="739" ht="19.5" customHeight="1" s="49">
      <c r="A739" s="6" t="n"/>
      <c r="B739" s="24" t="n"/>
      <c r="C739" s="29" t="n"/>
      <c r="D739" s="7">
        <f>IF(C739="","",C739*$B$1)</f>
        <v/>
      </c>
      <c r="E739" s="8">
        <f>IF(C739="","",C739-D739)</f>
        <v/>
      </c>
      <c r="F739" s="18">
        <f>IF(OR(B739="",C739=""),"",E739-B739)</f>
        <v/>
      </c>
      <c r="G739" s="20">
        <f>IF(OR(B739="",B739=0),"",F739/B739)</f>
        <v/>
      </c>
      <c r="H739" s="9" t="n"/>
    </row>
    <row r="740" ht="19.5" customHeight="1" s="49">
      <c r="A740" s="10" t="n"/>
      <c r="B740" s="25" t="n"/>
      <c r="C740" s="30" t="n"/>
      <c r="D740" s="11">
        <f>IF(C740="","",C740*$B$1)</f>
        <v/>
      </c>
      <c r="E740" s="12">
        <f>IF(C740="","",C740-D740)</f>
        <v/>
      </c>
      <c r="F740" s="19">
        <f>IF(OR(B740="",C740=""),"",E740-B740)</f>
        <v/>
      </c>
      <c r="G740" s="21">
        <f>IF(OR(B740="",B740=0),"",F740/B740)</f>
        <v/>
      </c>
      <c r="H740" s="13" t="n"/>
    </row>
    <row r="741" ht="19.5" customHeight="1" s="49">
      <c r="A741" s="6" t="n"/>
      <c r="B741" s="24" t="n"/>
      <c r="C741" s="29" t="n"/>
      <c r="D741" s="7">
        <f>IF(C741="","",C741*$B$1)</f>
        <v/>
      </c>
      <c r="E741" s="8">
        <f>IF(C741="","",C741-D741)</f>
        <v/>
      </c>
      <c r="F741" s="18">
        <f>IF(OR(B741="",C741=""),"",E741-B741)</f>
        <v/>
      </c>
      <c r="G741" s="20">
        <f>IF(OR(B741="",B741=0),"",F741/B741)</f>
        <v/>
      </c>
      <c r="H741" s="9" t="n"/>
    </row>
    <row r="742" ht="19.5" customHeight="1" s="49">
      <c r="A742" s="10" t="n"/>
      <c r="B742" s="25" t="n"/>
      <c r="C742" s="30" t="n"/>
      <c r="D742" s="11">
        <f>IF(C742="","",C742*$B$1)</f>
        <v/>
      </c>
      <c r="E742" s="12">
        <f>IF(C742="","",C742-D742)</f>
        <v/>
      </c>
      <c r="F742" s="19">
        <f>IF(OR(B742="",C742=""),"",E742-B742)</f>
        <v/>
      </c>
      <c r="G742" s="21">
        <f>IF(OR(B742="",B742=0),"",F742/B742)</f>
        <v/>
      </c>
      <c r="H742" s="13" t="n"/>
    </row>
    <row r="743" ht="19.5" customHeight="1" s="49">
      <c r="A743" s="6" t="n"/>
      <c r="B743" s="24" t="n"/>
      <c r="C743" s="29" t="n"/>
      <c r="D743" s="7">
        <f>IF(C743="","",C743*$B$1)</f>
        <v/>
      </c>
      <c r="E743" s="8">
        <f>IF(C743="","",C743-D743)</f>
        <v/>
      </c>
      <c r="F743" s="18">
        <f>IF(OR(B743="",C743=""),"",E743-B743)</f>
        <v/>
      </c>
      <c r="G743" s="20">
        <f>IF(OR(B743="",B743=0),"",F743/B743)</f>
        <v/>
      </c>
      <c r="H743" s="9" t="n"/>
    </row>
    <row r="744" ht="19.5" customHeight="1" s="49">
      <c r="A744" s="10" t="n"/>
      <c r="B744" s="25" t="n"/>
      <c r="C744" s="30" t="n"/>
      <c r="D744" s="11">
        <f>IF(C744="","",C744*$B$1)</f>
        <v/>
      </c>
      <c r="E744" s="12">
        <f>IF(C744="","",C744-D744)</f>
        <v/>
      </c>
      <c r="F744" s="19">
        <f>IF(OR(B744="",C744=""),"",E744-B744)</f>
        <v/>
      </c>
      <c r="G744" s="21">
        <f>IF(OR(B744="",B744=0),"",F744/B744)</f>
        <v/>
      </c>
      <c r="H744" s="13" t="n"/>
    </row>
    <row r="745" ht="19.5" customHeight="1" s="49">
      <c r="A745" s="6" t="n"/>
      <c r="B745" s="24" t="n"/>
      <c r="C745" s="29" t="n"/>
      <c r="D745" s="7">
        <f>IF(C745="","",C745*$B$1)</f>
        <v/>
      </c>
      <c r="E745" s="8">
        <f>IF(C745="","",C745-D745)</f>
        <v/>
      </c>
      <c r="F745" s="18">
        <f>IF(OR(B745="",C745=""),"",E745-B745)</f>
        <v/>
      </c>
      <c r="G745" s="20">
        <f>IF(OR(B745="",B745=0),"",F745/B745)</f>
        <v/>
      </c>
      <c r="H745" s="9" t="n"/>
    </row>
    <row r="746" ht="19.5" customHeight="1" s="49">
      <c r="A746" s="10" t="n"/>
      <c r="B746" s="25" t="n"/>
      <c r="C746" s="30" t="n"/>
      <c r="D746" s="11">
        <f>IF(C746="","",C746*$B$1)</f>
        <v/>
      </c>
      <c r="E746" s="12">
        <f>IF(C746="","",C746-D746)</f>
        <v/>
      </c>
      <c r="F746" s="19">
        <f>IF(OR(B746="",C746=""),"",E746-B746)</f>
        <v/>
      </c>
      <c r="G746" s="21">
        <f>IF(OR(B746="",B746=0),"",F746/B746)</f>
        <v/>
      </c>
      <c r="H746" s="13" t="n"/>
    </row>
    <row r="747" ht="19.5" customHeight="1" s="49">
      <c r="A747" s="6" t="n"/>
      <c r="B747" s="24" t="n"/>
      <c r="C747" s="29" t="n"/>
      <c r="D747" s="7">
        <f>IF(C747="","",C747*$B$1)</f>
        <v/>
      </c>
      <c r="E747" s="8">
        <f>IF(C747="","",C747-D747)</f>
        <v/>
      </c>
      <c r="F747" s="18">
        <f>IF(OR(B747="",C747=""),"",E747-B747)</f>
        <v/>
      </c>
      <c r="G747" s="20">
        <f>IF(OR(B747="",B747=0),"",F747/B747)</f>
        <v/>
      </c>
      <c r="H747" s="9" t="n"/>
    </row>
    <row r="748" ht="19.5" customHeight="1" s="49">
      <c r="A748" s="10" t="n"/>
      <c r="B748" s="25" t="n"/>
      <c r="C748" s="30" t="n"/>
      <c r="D748" s="11">
        <f>IF(C748="","",C748*$B$1)</f>
        <v/>
      </c>
      <c r="E748" s="12">
        <f>IF(C748="","",C748-D748)</f>
        <v/>
      </c>
      <c r="F748" s="19">
        <f>IF(OR(B748="",C748=""),"",E748-B748)</f>
        <v/>
      </c>
      <c r="G748" s="21">
        <f>IF(OR(B748="",B748=0),"",F748/B748)</f>
        <v/>
      </c>
      <c r="H748" s="13" t="n"/>
    </row>
    <row r="749" ht="19.5" customHeight="1" s="49">
      <c r="A749" s="6" t="n"/>
      <c r="B749" s="24" t="n"/>
      <c r="C749" s="29" t="n"/>
      <c r="D749" s="7">
        <f>IF(C749="","",C749*$B$1)</f>
        <v/>
      </c>
      <c r="E749" s="8">
        <f>IF(C749="","",C749-D749)</f>
        <v/>
      </c>
      <c r="F749" s="18">
        <f>IF(OR(B749="",C749=""),"",E749-B749)</f>
        <v/>
      </c>
      <c r="G749" s="20">
        <f>IF(OR(B749="",B749=0),"",F749/B749)</f>
        <v/>
      </c>
      <c r="H749" s="9" t="n"/>
    </row>
    <row r="750" ht="19.5" customHeight="1" s="49">
      <c r="A750" s="10" t="n"/>
      <c r="B750" s="25" t="n"/>
      <c r="C750" s="30" t="n"/>
      <c r="D750" s="11">
        <f>IF(C750="","",C750*$B$1)</f>
        <v/>
      </c>
      <c r="E750" s="12">
        <f>IF(C750="","",C750-D750)</f>
        <v/>
      </c>
      <c r="F750" s="19">
        <f>IF(OR(B750="",C750=""),"",E750-B750)</f>
        <v/>
      </c>
      <c r="G750" s="21">
        <f>IF(OR(B750="",B750=0),"",F750/B750)</f>
        <v/>
      </c>
      <c r="H750" s="13" t="n"/>
    </row>
    <row r="751" ht="19.5" customHeight="1" s="49">
      <c r="A751" s="6" t="n"/>
      <c r="B751" s="24" t="n"/>
      <c r="C751" s="29" t="n"/>
      <c r="D751" s="7">
        <f>IF(C751="","",C751*$B$1)</f>
        <v/>
      </c>
      <c r="E751" s="8">
        <f>IF(C751="","",C751-D751)</f>
        <v/>
      </c>
      <c r="F751" s="18">
        <f>IF(OR(B751="",C751=""),"",E751-B751)</f>
        <v/>
      </c>
      <c r="G751" s="20">
        <f>IF(OR(B751="",B751=0),"",F751/B751)</f>
        <v/>
      </c>
      <c r="H751" s="9" t="n"/>
    </row>
    <row r="752" ht="19.5" customHeight="1" s="49">
      <c r="A752" s="10" t="n"/>
      <c r="B752" s="25" t="n"/>
      <c r="C752" s="30" t="n"/>
      <c r="D752" s="11">
        <f>IF(C752="","",C752*$B$1)</f>
        <v/>
      </c>
      <c r="E752" s="12">
        <f>IF(C752="","",C752-D752)</f>
        <v/>
      </c>
      <c r="F752" s="19">
        <f>IF(OR(B752="",C752=""),"",E752-B752)</f>
        <v/>
      </c>
      <c r="G752" s="21">
        <f>IF(OR(B752="",B752=0),"",F752/B752)</f>
        <v/>
      </c>
      <c r="H752" s="13" t="n"/>
    </row>
    <row r="753" ht="19.5" customHeight="1" s="49">
      <c r="A753" s="6" t="n"/>
      <c r="B753" s="24" t="n"/>
      <c r="C753" s="29" t="n"/>
      <c r="D753" s="7">
        <f>IF(C753="","",C753*$B$1)</f>
        <v/>
      </c>
      <c r="E753" s="8">
        <f>IF(C753="","",C753-D753)</f>
        <v/>
      </c>
      <c r="F753" s="18">
        <f>IF(OR(B753="",C753=""),"",E753-B753)</f>
        <v/>
      </c>
      <c r="G753" s="20">
        <f>IF(OR(B753="",B753=0),"",F753/B753)</f>
        <v/>
      </c>
      <c r="H753" s="9" t="n"/>
    </row>
    <row r="754" ht="19.5" customHeight="1" s="49">
      <c r="A754" s="10" t="n"/>
      <c r="B754" s="25" t="n"/>
      <c r="C754" s="30" t="n"/>
      <c r="D754" s="11">
        <f>IF(C754="","",C754*$B$1)</f>
        <v/>
      </c>
      <c r="E754" s="12">
        <f>IF(C754="","",C754-D754)</f>
        <v/>
      </c>
      <c r="F754" s="19">
        <f>IF(OR(B754="",C754=""),"",E754-B754)</f>
        <v/>
      </c>
      <c r="G754" s="21">
        <f>IF(OR(B754="",B754=0),"",F754/B754)</f>
        <v/>
      </c>
      <c r="H754" s="13" t="n"/>
    </row>
    <row r="755" ht="19.5" customHeight="1" s="49">
      <c r="A755" s="6" t="n"/>
      <c r="B755" s="24" t="n"/>
      <c r="C755" s="29" t="n"/>
      <c r="D755" s="7">
        <f>IF(C755="","",C755*$B$1)</f>
        <v/>
      </c>
      <c r="E755" s="8">
        <f>IF(C755="","",C755-D755)</f>
        <v/>
      </c>
      <c r="F755" s="18">
        <f>IF(OR(B755="",C755=""),"",E755-B755)</f>
        <v/>
      </c>
      <c r="G755" s="20">
        <f>IF(OR(B755="",B755=0),"",F755/B755)</f>
        <v/>
      </c>
      <c r="H755" s="9" t="n"/>
    </row>
    <row r="756" ht="19.5" customHeight="1" s="49">
      <c r="A756" s="10" t="n"/>
      <c r="B756" s="25" t="n"/>
      <c r="C756" s="30" t="n"/>
      <c r="D756" s="11">
        <f>IF(C756="","",C756*$B$1)</f>
        <v/>
      </c>
      <c r="E756" s="12">
        <f>IF(C756="","",C756-D756)</f>
        <v/>
      </c>
      <c r="F756" s="19">
        <f>IF(OR(B756="",C756=""),"",E756-B756)</f>
        <v/>
      </c>
      <c r="G756" s="21">
        <f>IF(OR(B756="",B756=0),"",F756/B756)</f>
        <v/>
      </c>
      <c r="H756" s="13" t="n"/>
    </row>
    <row r="757" ht="19.5" customHeight="1" s="49">
      <c r="A757" s="6" t="n"/>
      <c r="B757" s="24" t="n"/>
      <c r="C757" s="29" t="n"/>
      <c r="D757" s="7">
        <f>IF(C757="","",C757*$B$1)</f>
        <v/>
      </c>
      <c r="E757" s="8">
        <f>IF(C757="","",C757-D757)</f>
        <v/>
      </c>
      <c r="F757" s="18">
        <f>IF(OR(B757="",C757=""),"",E757-B757)</f>
        <v/>
      </c>
      <c r="G757" s="20">
        <f>IF(OR(B757="",B757=0),"",F757/B757)</f>
        <v/>
      </c>
      <c r="H757" s="9" t="n"/>
    </row>
    <row r="758" ht="19.5" customHeight="1" s="49">
      <c r="A758" s="10" t="n"/>
      <c r="B758" s="25" t="n"/>
      <c r="C758" s="30" t="n"/>
      <c r="D758" s="11">
        <f>IF(C758="","",C758*$B$1)</f>
        <v/>
      </c>
      <c r="E758" s="12">
        <f>IF(C758="","",C758-D758)</f>
        <v/>
      </c>
      <c r="F758" s="19">
        <f>IF(OR(B758="",C758=""),"",E758-B758)</f>
        <v/>
      </c>
      <c r="G758" s="21">
        <f>IF(OR(B758="",B758=0),"",F758/B758)</f>
        <v/>
      </c>
      <c r="H758" s="13" t="n"/>
    </row>
    <row r="759" ht="19.5" customHeight="1" s="49">
      <c r="A759" s="6" t="n"/>
      <c r="B759" s="24" t="n"/>
      <c r="C759" s="29" t="n"/>
      <c r="D759" s="7">
        <f>IF(C759="","",C759*$B$1)</f>
        <v/>
      </c>
      <c r="E759" s="8">
        <f>IF(C759="","",C759-D759)</f>
        <v/>
      </c>
      <c r="F759" s="18">
        <f>IF(OR(B759="",C759=""),"",E759-B759)</f>
        <v/>
      </c>
      <c r="G759" s="20">
        <f>IF(OR(B759="",B759=0),"",F759/B759)</f>
        <v/>
      </c>
      <c r="H759" s="9" t="n"/>
    </row>
    <row r="760" ht="19.5" customHeight="1" s="49">
      <c r="A760" s="10" t="n"/>
      <c r="B760" s="25" t="n"/>
      <c r="C760" s="30" t="n"/>
      <c r="D760" s="11">
        <f>IF(C760="","",C760*$B$1)</f>
        <v/>
      </c>
      <c r="E760" s="12">
        <f>IF(C760="","",C760-D760)</f>
        <v/>
      </c>
      <c r="F760" s="19">
        <f>IF(OR(B760="",C760=""),"",E760-B760)</f>
        <v/>
      </c>
      <c r="G760" s="21">
        <f>IF(OR(B760="",B760=0),"",F760/B760)</f>
        <v/>
      </c>
      <c r="H760" s="13" t="n"/>
    </row>
    <row r="761" ht="19.5" customHeight="1" s="49">
      <c r="A761" s="6" t="n"/>
      <c r="B761" s="24" t="n"/>
      <c r="C761" s="29" t="n"/>
      <c r="D761" s="7">
        <f>IF(C761="","",C761*$B$1)</f>
        <v/>
      </c>
      <c r="E761" s="8">
        <f>IF(C761="","",C761-D761)</f>
        <v/>
      </c>
      <c r="F761" s="18">
        <f>IF(OR(B761="",C761=""),"",E761-B761)</f>
        <v/>
      </c>
      <c r="G761" s="20">
        <f>IF(OR(B761="",B761=0),"",F761/B761)</f>
        <v/>
      </c>
      <c r="H761" s="9" t="n"/>
    </row>
    <row r="762" ht="19.5" customHeight="1" s="49">
      <c r="A762" s="10" t="n"/>
      <c r="B762" s="25" t="n"/>
      <c r="C762" s="30" t="n"/>
      <c r="D762" s="11">
        <f>IF(C762="","",C762*$B$1)</f>
        <v/>
      </c>
      <c r="E762" s="12">
        <f>IF(C762="","",C762-D762)</f>
        <v/>
      </c>
      <c r="F762" s="19">
        <f>IF(OR(B762="",C762=""),"",E762-B762)</f>
        <v/>
      </c>
      <c r="G762" s="21">
        <f>IF(OR(B762="",B762=0),"",F762/B762)</f>
        <v/>
      </c>
      <c r="H762" s="13" t="n"/>
    </row>
    <row r="763" ht="19.5" customHeight="1" s="49">
      <c r="A763" s="6" t="n"/>
      <c r="B763" s="24" t="n"/>
      <c r="C763" s="29" t="n"/>
      <c r="D763" s="7">
        <f>IF(C763="","",C763*$B$1)</f>
        <v/>
      </c>
      <c r="E763" s="8">
        <f>IF(C763="","",C763-D763)</f>
        <v/>
      </c>
      <c r="F763" s="18">
        <f>IF(OR(B763="",C763=""),"",E763-B763)</f>
        <v/>
      </c>
      <c r="G763" s="20">
        <f>IF(OR(B763="",B763=0),"",F763/B763)</f>
        <v/>
      </c>
      <c r="H763" s="9" t="n"/>
    </row>
    <row r="764" ht="19.5" customHeight="1" s="49">
      <c r="A764" s="10" t="n"/>
      <c r="B764" s="25" t="n"/>
      <c r="C764" s="30" t="n"/>
      <c r="D764" s="11">
        <f>IF(C764="","",C764*$B$1)</f>
        <v/>
      </c>
      <c r="E764" s="12">
        <f>IF(C764="","",C764-D764)</f>
        <v/>
      </c>
      <c r="F764" s="19">
        <f>IF(OR(B764="",C764=""),"",E764-B764)</f>
        <v/>
      </c>
      <c r="G764" s="21">
        <f>IF(OR(B764="",B764=0),"",F764/B764)</f>
        <v/>
      </c>
      <c r="H764" s="13" t="n"/>
    </row>
    <row r="765" ht="19.5" customHeight="1" s="49">
      <c r="A765" s="6" t="n"/>
      <c r="B765" s="24" t="n"/>
      <c r="C765" s="29" t="n"/>
      <c r="D765" s="7">
        <f>IF(C765="","",C765*$B$1)</f>
        <v/>
      </c>
      <c r="E765" s="8">
        <f>IF(C765="","",C765-D765)</f>
        <v/>
      </c>
      <c r="F765" s="18">
        <f>IF(OR(B765="",C765=""),"",E765-B765)</f>
        <v/>
      </c>
      <c r="G765" s="20">
        <f>IF(OR(B765="",B765=0),"",F765/B765)</f>
        <v/>
      </c>
      <c r="H765" s="9" t="n"/>
    </row>
    <row r="766" ht="19.5" customHeight="1" s="49">
      <c r="A766" s="10" t="n"/>
      <c r="B766" s="25" t="n"/>
      <c r="C766" s="30" t="n"/>
      <c r="D766" s="11">
        <f>IF(C766="","",C766*$B$1)</f>
        <v/>
      </c>
      <c r="E766" s="12">
        <f>IF(C766="","",C766-D766)</f>
        <v/>
      </c>
      <c r="F766" s="19">
        <f>IF(OR(B766="",C766=""),"",E766-B766)</f>
        <v/>
      </c>
      <c r="G766" s="21">
        <f>IF(OR(B766="",B766=0),"",F766/B766)</f>
        <v/>
      </c>
      <c r="H766" s="13" t="n"/>
    </row>
    <row r="767" ht="19.5" customHeight="1" s="49">
      <c r="A767" s="6" t="n"/>
      <c r="B767" s="24" t="n"/>
      <c r="C767" s="29" t="n"/>
      <c r="D767" s="7">
        <f>IF(C767="","",C767*$B$1)</f>
        <v/>
      </c>
      <c r="E767" s="8">
        <f>IF(C767="","",C767-D767)</f>
        <v/>
      </c>
      <c r="F767" s="18">
        <f>IF(OR(B767="",C767=""),"",E767-B767)</f>
        <v/>
      </c>
      <c r="G767" s="20">
        <f>IF(OR(B767="",B767=0),"",F767/B767)</f>
        <v/>
      </c>
      <c r="H767" s="9" t="n"/>
    </row>
    <row r="768" ht="19.5" customHeight="1" s="49">
      <c r="A768" s="10" t="n"/>
      <c r="B768" s="25" t="n"/>
      <c r="C768" s="30" t="n"/>
      <c r="D768" s="11">
        <f>IF(C768="","",C768*$B$1)</f>
        <v/>
      </c>
      <c r="E768" s="12">
        <f>IF(C768="","",C768-D768)</f>
        <v/>
      </c>
      <c r="F768" s="19">
        <f>IF(OR(B768="",C768=""),"",E768-B768)</f>
        <v/>
      </c>
      <c r="G768" s="21">
        <f>IF(OR(B768="",B768=0),"",F768/B768)</f>
        <v/>
      </c>
      <c r="H768" s="13" t="n"/>
    </row>
    <row r="769" ht="19.5" customHeight="1" s="49">
      <c r="A769" s="6" t="n"/>
      <c r="B769" s="24" t="n"/>
      <c r="C769" s="29" t="n"/>
      <c r="D769" s="7">
        <f>IF(C769="","",C769*$B$1)</f>
        <v/>
      </c>
      <c r="E769" s="8">
        <f>IF(C769="","",C769-D769)</f>
        <v/>
      </c>
      <c r="F769" s="18">
        <f>IF(OR(B769="",C769=""),"",E769-B769)</f>
        <v/>
      </c>
      <c r="G769" s="20">
        <f>IF(OR(B769="",B769=0),"",F769/B769)</f>
        <v/>
      </c>
      <c r="H769" s="9" t="n"/>
    </row>
    <row r="770" ht="19.5" customHeight="1" s="49">
      <c r="A770" s="10" t="n"/>
      <c r="B770" s="25" t="n"/>
      <c r="C770" s="30" t="n"/>
      <c r="D770" s="11">
        <f>IF(C770="","",C770*$B$1)</f>
        <v/>
      </c>
      <c r="E770" s="12">
        <f>IF(C770="","",C770-D770)</f>
        <v/>
      </c>
      <c r="F770" s="19">
        <f>IF(OR(B770="",C770=""),"",E770-B770)</f>
        <v/>
      </c>
      <c r="G770" s="21">
        <f>IF(OR(B770="",B770=0),"",F770/B770)</f>
        <v/>
      </c>
      <c r="H770" s="13" t="n"/>
    </row>
    <row r="771" ht="19.5" customHeight="1" s="49">
      <c r="A771" s="6" t="n"/>
      <c r="B771" s="24" t="n"/>
      <c r="C771" s="29" t="n"/>
      <c r="D771" s="7">
        <f>IF(C771="","",C771*$B$1)</f>
        <v/>
      </c>
      <c r="E771" s="8">
        <f>IF(C771="","",C771-D771)</f>
        <v/>
      </c>
      <c r="F771" s="18">
        <f>IF(OR(B771="",C771=""),"",E771-B771)</f>
        <v/>
      </c>
      <c r="G771" s="20">
        <f>IF(OR(B771="",B771=0),"",F771/B771)</f>
        <v/>
      </c>
      <c r="H771" s="9" t="n"/>
    </row>
    <row r="772" ht="19.5" customHeight="1" s="49">
      <c r="A772" s="10" t="n"/>
      <c r="B772" s="25" t="n"/>
      <c r="C772" s="30" t="n"/>
      <c r="D772" s="11">
        <f>IF(C772="","",C772*$B$1)</f>
        <v/>
      </c>
      <c r="E772" s="12">
        <f>IF(C772="","",C772-D772)</f>
        <v/>
      </c>
      <c r="F772" s="19">
        <f>IF(OR(B772="",C772=""),"",E772-B772)</f>
        <v/>
      </c>
      <c r="G772" s="21">
        <f>IF(OR(B772="",B772=0),"",F772/B772)</f>
        <v/>
      </c>
      <c r="H772" s="13" t="n"/>
    </row>
    <row r="773" ht="19.5" customHeight="1" s="49">
      <c r="A773" s="6" t="n"/>
      <c r="B773" s="24" t="n"/>
      <c r="C773" s="29" t="n"/>
      <c r="D773" s="7">
        <f>IF(C773="","",C773*$B$1)</f>
        <v/>
      </c>
      <c r="E773" s="8">
        <f>IF(C773="","",C773-D773)</f>
        <v/>
      </c>
      <c r="F773" s="18">
        <f>IF(OR(B773="",C773=""),"",E773-B773)</f>
        <v/>
      </c>
      <c r="G773" s="20">
        <f>IF(OR(B773="",B773=0),"",F773/B773)</f>
        <v/>
      </c>
      <c r="H773" s="9" t="n"/>
    </row>
    <row r="774" ht="19.5" customHeight="1" s="49">
      <c r="A774" s="10" t="n"/>
      <c r="B774" s="25" t="n"/>
      <c r="C774" s="30" t="n"/>
      <c r="D774" s="11">
        <f>IF(C774="","",C774*$B$1)</f>
        <v/>
      </c>
      <c r="E774" s="12">
        <f>IF(C774="","",C774-D774)</f>
        <v/>
      </c>
      <c r="F774" s="19">
        <f>IF(OR(B774="",C774=""),"",E774-B774)</f>
        <v/>
      </c>
      <c r="G774" s="21">
        <f>IF(OR(B774="",B774=0),"",F774/B774)</f>
        <v/>
      </c>
      <c r="H774" s="13" t="n"/>
    </row>
    <row r="775" ht="19.5" customHeight="1" s="49">
      <c r="A775" s="6" t="n"/>
      <c r="B775" s="24" t="n"/>
      <c r="C775" s="29" t="n"/>
      <c r="D775" s="7">
        <f>IF(C775="","",C775*$B$1)</f>
        <v/>
      </c>
      <c r="E775" s="8">
        <f>IF(C775="","",C775-D775)</f>
        <v/>
      </c>
      <c r="F775" s="18">
        <f>IF(OR(B775="",C775=""),"",E775-B775)</f>
        <v/>
      </c>
      <c r="G775" s="20">
        <f>IF(OR(B775="",B775=0),"",F775/B775)</f>
        <v/>
      </c>
      <c r="H775" s="9" t="n"/>
    </row>
    <row r="776" ht="19.5" customHeight="1" s="49">
      <c r="A776" s="10" t="n"/>
      <c r="B776" s="25" t="n"/>
      <c r="C776" s="30" t="n"/>
      <c r="D776" s="11">
        <f>IF(C776="","",C776*$B$1)</f>
        <v/>
      </c>
      <c r="E776" s="12">
        <f>IF(C776="","",C776-D776)</f>
        <v/>
      </c>
      <c r="F776" s="19">
        <f>IF(OR(B776="",C776=""),"",E776-B776)</f>
        <v/>
      </c>
      <c r="G776" s="21">
        <f>IF(OR(B776="",B776=0),"",F776/B776)</f>
        <v/>
      </c>
      <c r="H776" s="13" t="n"/>
    </row>
    <row r="777" ht="19.5" customHeight="1" s="49">
      <c r="A777" s="6" t="n"/>
      <c r="B777" s="24" t="n"/>
      <c r="C777" s="29" t="n"/>
      <c r="D777" s="7">
        <f>IF(C777="","",C777*$B$1)</f>
        <v/>
      </c>
      <c r="E777" s="8">
        <f>IF(C777="","",C777-D777)</f>
        <v/>
      </c>
      <c r="F777" s="18">
        <f>IF(OR(B777="",C777=""),"",E777-B777)</f>
        <v/>
      </c>
      <c r="G777" s="20">
        <f>IF(OR(B777="",B777=0),"",F777/B777)</f>
        <v/>
      </c>
      <c r="H777" s="9" t="n"/>
    </row>
    <row r="778" ht="19.5" customHeight="1" s="49">
      <c r="A778" s="10" t="n"/>
      <c r="B778" s="25" t="n"/>
      <c r="C778" s="30" t="n"/>
      <c r="D778" s="11">
        <f>IF(C778="","",C778*$B$1)</f>
        <v/>
      </c>
      <c r="E778" s="12">
        <f>IF(C778="","",C778-D778)</f>
        <v/>
      </c>
      <c r="F778" s="19">
        <f>IF(OR(B778="",C778=""),"",E778-B778)</f>
        <v/>
      </c>
      <c r="G778" s="21">
        <f>IF(OR(B778="",B778=0),"",F778/B778)</f>
        <v/>
      </c>
      <c r="H778" s="13" t="n"/>
    </row>
    <row r="779" ht="19.5" customHeight="1" s="49">
      <c r="A779" s="6" t="n"/>
      <c r="B779" s="24" t="n"/>
      <c r="C779" s="29" t="n"/>
      <c r="D779" s="7">
        <f>IF(C779="","",C779*$B$1)</f>
        <v/>
      </c>
      <c r="E779" s="8">
        <f>IF(C779="","",C779-D779)</f>
        <v/>
      </c>
      <c r="F779" s="18">
        <f>IF(OR(B779="",C779=""),"",E779-B779)</f>
        <v/>
      </c>
      <c r="G779" s="20">
        <f>IF(OR(B779="",B779=0),"",F779/B779)</f>
        <v/>
      </c>
      <c r="H779" s="9" t="n"/>
    </row>
    <row r="780" ht="19.5" customHeight="1" s="49">
      <c r="A780" s="10" t="n"/>
      <c r="B780" s="25" t="n"/>
      <c r="C780" s="30" t="n"/>
      <c r="D780" s="11">
        <f>IF(C780="","",C780*$B$1)</f>
        <v/>
      </c>
      <c r="E780" s="12">
        <f>IF(C780="","",C780-D780)</f>
        <v/>
      </c>
      <c r="F780" s="19">
        <f>IF(OR(B780="",C780=""),"",E780-B780)</f>
        <v/>
      </c>
      <c r="G780" s="21">
        <f>IF(OR(B780="",B780=0),"",F780/B780)</f>
        <v/>
      </c>
      <c r="H780" s="13" t="n"/>
    </row>
    <row r="781" ht="19.5" customHeight="1" s="49">
      <c r="A781" s="6" t="n"/>
      <c r="B781" s="24" t="n"/>
      <c r="C781" s="29" t="n"/>
      <c r="D781" s="7">
        <f>IF(C781="","",C781*$B$1)</f>
        <v/>
      </c>
      <c r="E781" s="8">
        <f>IF(C781="","",C781-D781)</f>
        <v/>
      </c>
      <c r="F781" s="18">
        <f>IF(OR(B781="",C781=""),"",E781-B781)</f>
        <v/>
      </c>
      <c r="G781" s="20">
        <f>IF(OR(B781="",B781=0),"",F781/B781)</f>
        <v/>
      </c>
      <c r="H781" s="9" t="n"/>
    </row>
    <row r="782" ht="19.5" customHeight="1" s="49">
      <c r="A782" s="10" t="n"/>
      <c r="B782" s="25" t="n"/>
      <c r="C782" s="30" t="n"/>
      <c r="D782" s="11">
        <f>IF(C782="","",C782*$B$1)</f>
        <v/>
      </c>
      <c r="E782" s="12">
        <f>IF(C782="","",C782-D782)</f>
        <v/>
      </c>
      <c r="F782" s="19">
        <f>IF(OR(B782="",C782=""),"",E782-B782)</f>
        <v/>
      </c>
      <c r="G782" s="21">
        <f>IF(OR(B782="",B782=0),"",F782/B782)</f>
        <v/>
      </c>
      <c r="H782" s="13" t="n"/>
    </row>
    <row r="783" ht="19.5" customHeight="1" s="49">
      <c r="A783" s="6" t="n"/>
      <c r="B783" s="24" t="n"/>
      <c r="C783" s="29" t="n"/>
      <c r="D783" s="7">
        <f>IF(C783="","",C783*$B$1)</f>
        <v/>
      </c>
      <c r="E783" s="8">
        <f>IF(C783="","",C783-D783)</f>
        <v/>
      </c>
      <c r="F783" s="18">
        <f>IF(OR(B783="",C783=""),"",E783-B783)</f>
        <v/>
      </c>
      <c r="G783" s="20">
        <f>IF(OR(B783="",B783=0),"",F783/B783)</f>
        <v/>
      </c>
      <c r="H783" s="9" t="n"/>
    </row>
    <row r="784" ht="19.5" customHeight="1" s="49">
      <c r="A784" s="10" t="n"/>
      <c r="B784" s="25" t="n"/>
      <c r="C784" s="30" t="n"/>
      <c r="D784" s="11">
        <f>IF(C784="","",C784*$B$1)</f>
        <v/>
      </c>
      <c r="E784" s="12">
        <f>IF(C784="","",C784-D784)</f>
        <v/>
      </c>
      <c r="F784" s="19">
        <f>IF(OR(B784="",C784=""),"",E784-B784)</f>
        <v/>
      </c>
      <c r="G784" s="21">
        <f>IF(OR(B784="",B784=0),"",F784/B784)</f>
        <v/>
      </c>
      <c r="H784" s="13" t="n"/>
    </row>
    <row r="785" ht="19.5" customHeight="1" s="49">
      <c r="A785" s="6" t="n"/>
      <c r="B785" s="24" t="n"/>
      <c r="C785" s="29" t="n"/>
      <c r="D785" s="7">
        <f>IF(C785="","",C785*$B$1)</f>
        <v/>
      </c>
      <c r="E785" s="8">
        <f>IF(C785="","",C785-D785)</f>
        <v/>
      </c>
      <c r="F785" s="18">
        <f>IF(OR(B785="",C785=""),"",E785-B785)</f>
        <v/>
      </c>
      <c r="G785" s="20">
        <f>IF(OR(B785="",B785=0),"",F785/B785)</f>
        <v/>
      </c>
      <c r="H785" s="9" t="n"/>
    </row>
    <row r="786" ht="19.5" customHeight="1" s="49">
      <c r="A786" s="10" t="n"/>
      <c r="B786" s="25" t="n"/>
      <c r="C786" s="30" t="n"/>
      <c r="D786" s="11">
        <f>IF(C786="","",C786*$B$1)</f>
        <v/>
      </c>
      <c r="E786" s="12">
        <f>IF(C786="","",C786-D786)</f>
        <v/>
      </c>
      <c r="F786" s="19">
        <f>IF(OR(B786="",C786=""),"",E786-B786)</f>
        <v/>
      </c>
      <c r="G786" s="21">
        <f>IF(OR(B786="",B786=0),"",F786/B786)</f>
        <v/>
      </c>
      <c r="H786" s="13" t="n"/>
    </row>
    <row r="787" ht="19.5" customHeight="1" s="49">
      <c r="A787" s="6" t="n"/>
      <c r="B787" s="24" t="n"/>
      <c r="C787" s="29" t="n"/>
      <c r="D787" s="7">
        <f>IF(C787="","",C787*$B$1)</f>
        <v/>
      </c>
      <c r="E787" s="8">
        <f>IF(C787="","",C787-D787)</f>
        <v/>
      </c>
      <c r="F787" s="18">
        <f>IF(OR(B787="",C787=""),"",E787-B787)</f>
        <v/>
      </c>
      <c r="G787" s="20">
        <f>IF(OR(B787="",B787=0),"",F787/B787)</f>
        <v/>
      </c>
      <c r="H787" s="9" t="n"/>
    </row>
    <row r="788" ht="19.5" customHeight="1" s="49">
      <c r="A788" s="10" t="n"/>
      <c r="B788" s="25" t="n"/>
      <c r="C788" s="30" t="n"/>
      <c r="D788" s="11">
        <f>IF(C788="","",C788*$B$1)</f>
        <v/>
      </c>
      <c r="E788" s="12">
        <f>IF(C788="","",C788-D788)</f>
        <v/>
      </c>
      <c r="F788" s="19">
        <f>IF(OR(B788="",C788=""),"",E788-B788)</f>
        <v/>
      </c>
      <c r="G788" s="21">
        <f>IF(OR(B788="",B788=0),"",F788/B788)</f>
        <v/>
      </c>
      <c r="H788" s="13" t="n"/>
    </row>
    <row r="789" ht="19.5" customHeight="1" s="49">
      <c r="A789" s="6" t="n"/>
      <c r="B789" s="24" t="n"/>
      <c r="C789" s="29" t="n"/>
      <c r="D789" s="7">
        <f>IF(C789="","",C789*$B$1)</f>
        <v/>
      </c>
      <c r="E789" s="8">
        <f>IF(C789="","",C789-D789)</f>
        <v/>
      </c>
      <c r="F789" s="18">
        <f>IF(OR(B789="",C789=""),"",E789-B789)</f>
        <v/>
      </c>
      <c r="G789" s="20">
        <f>IF(OR(B789="",B789=0),"",F789/B789)</f>
        <v/>
      </c>
      <c r="H789" s="9" t="n"/>
    </row>
    <row r="790" ht="19.5" customHeight="1" s="49">
      <c r="A790" s="10" t="n"/>
      <c r="B790" s="25" t="n"/>
      <c r="C790" s="30" t="n"/>
      <c r="D790" s="11">
        <f>IF(C790="","",C790*$B$1)</f>
        <v/>
      </c>
      <c r="E790" s="12">
        <f>IF(C790="","",C790-D790)</f>
        <v/>
      </c>
      <c r="F790" s="19">
        <f>IF(OR(B790="",C790=""),"",E790-B790)</f>
        <v/>
      </c>
      <c r="G790" s="21">
        <f>IF(OR(B790="",B790=0),"",F790/B790)</f>
        <v/>
      </c>
      <c r="H790" s="13" t="n"/>
    </row>
    <row r="791" ht="19.5" customHeight="1" s="49">
      <c r="A791" s="6" t="n"/>
      <c r="B791" s="24" t="n"/>
      <c r="C791" s="29" t="n"/>
      <c r="D791" s="7">
        <f>IF(C791="","",C791*$B$1)</f>
        <v/>
      </c>
      <c r="E791" s="8">
        <f>IF(C791="","",C791-D791)</f>
        <v/>
      </c>
      <c r="F791" s="18">
        <f>IF(OR(B791="",C791=""),"",E791-B791)</f>
        <v/>
      </c>
      <c r="G791" s="20">
        <f>IF(OR(B791="",B791=0),"",F791/B791)</f>
        <v/>
      </c>
      <c r="H791" s="9" t="n"/>
    </row>
    <row r="792" ht="19.5" customHeight="1" s="49">
      <c r="A792" s="10" t="n"/>
      <c r="B792" s="25" t="n"/>
      <c r="C792" s="30" t="n"/>
      <c r="D792" s="11">
        <f>IF(C792="","",C792*$B$1)</f>
        <v/>
      </c>
      <c r="E792" s="12">
        <f>IF(C792="","",C792-D792)</f>
        <v/>
      </c>
      <c r="F792" s="19">
        <f>IF(OR(B792="",C792=""),"",E792-B792)</f>
        <v/>
      </c>
      <c r="G792" s="21">
        <f>IF(OR(B792="",B792=0),"",F792/B792)</f>
        <v/>
      </c>
      <c r="H792" s="13" t="n"/>
    </row>
    <row r="793" ht="19.5" customHeight="1" s="49">
      <c r="A793" s="6" t="n"/>
      <c r="B793" s="24" t="n"/>
      <c r="C793" s="29" t="n"/>
      <c r="D793" s="7">
        <f>IF(C793="","",C793*$B$1)</f>
        <v/>
      </c>
      <c r="E793" s="8">
        <f>IF(C793="","",C793-D793)</f>
        <v/>
      </c>
      <c r="F793" s="18">
        <f>IF(OR(B793="",C793=""),"",E793-B793)</f>
        <v/>
      </c>
      <c r="G793" s="20">
        <f>IF(OR(B793="",B793=0),"",F793/B793)</f>
        <v/>
      </c>
      <c r="H793" s="9" t="n"/>
    </row>
    <row r="794" ht="19.5" customHeight="1" s="49">
      <c r="A794" s="10" t="n"/>
      <c r="B794" s="25" t="n"/>
      <c r="C794" s="30" t="n"/>
      <c r="D794" s="11">
        <f>IF(C794="","",C794*$B$1)</f>
        <v/>
      </c>
      <c r="E794" s="12">
        <f>IF(C794="","",C794-D794)</f>
        <v/>
      </c>
      <c r="F794" s="19">
        <f>IF(OR(B794="",C794=""),"",E794-B794)</f>
        <v/>
      </c>
      <c r="G794" s="21">
        <f>IF(OR(B794="",B794=0),"",F794/B794)</f>
        <v/>
      </c>
      <c r="H794" s="13" t="n"/>
    </row>
    <row r="795" ht="19.5" customHeight="1" s="49">
      <c r="A795" s="6" t="n"/>
      <c r="B795" s="24" t="n"/>
      <c r="C795" s="29" t="n"/>
      <c r="D795" s="7">
        <f>IF(C795="","",C795*$B$1)</f>
        <v/>
      </c>
      <c r="E795" s="8">
        <f>IF(C795="","",C795-D795)</f>
        <v/>
      </c>
      <c r="F795" s="18">
        <f>IF(OR(B795="",C795=""),"",E795-B795)</f>
        <v/>
      </c>
      <c r="G795" s="20">
        <f>IF(OR(B795="",B795=0),"",F795/B795)</f>
        <v/>
      </c>
      <c r="H795" s="9" t="n"/>
    </row>
    <row r="796" ht="19.5" customHeight="1" s="49">
      <c r="A796" s="10" t="n"/>
      <c r="B796" s="25" t="n"/>
      <c r="C796" s="30" t="n"/>
      <c r="D796" s="11">
        <f>IF(C796="","",C796*$B$1)</f>
        <v/>
      </c>
      <c r="E796" s="12">
        <f>IF(C796="","",C796-D796)</f>
        <v/>
      </c>
      <c r="F796" s="19">
        <f>IF(OR(B796="",C796=""),"",E796-B796)</f>
        <v/>
      </c>
      <c r="G796" s="21">
        <f>IF(OR(B796="",B796=0),"",F796/B796)</f>
        <v/>
      </c>
      <c r="H796" s="13" t="n"/>
    </row>
    <row r="797" ht="19.5" customHeight="1" s="49">
      <c r="A797" s="6" t="n"/>
      <c r="B797" s="24" t="n"/>
      <c r="C797" s="29" t="n"/>
      <c r="D797" s="7">
        <f>IF(C797="","",C797*$B$1)</f>
        <v/>
      </c>
      <c r="E797" s="8">
        <f>IF(C797="","",C797-D797)</f>
        <v/>
      </c>
      <c r="F797" s="18">
        <f>IF(OR(B797="",C797=""),"",E797-B797)</f>
        <v/>
      </c>
      <c r="G797" s="20">
        <f>IF(OR(B797="",B797=0),"",F797/B797)</f>
        <v/>
      </c>
      <c r="H797" s="9" t="n"/>
    </row>
    <row r="798" ht="19.5" customHeight="1" s="49">
      <c r="A798" s="10" t="n"/>
      <c r="B798" s="25" t="n"/>
      <c r="C798" s="30" t="n"/>
      <c r="D798" s="11">
        <f>IF(C798="","",C798*$B$1)</f>
        <v/>
      </c>
      <c r="E798" s="12">
        <f>IF(C798="","",C798-D798)</f>
        <v/>
      </c>
      <c r="F798" s="19">
        <f>IF(OR(B798="",C798=""),"",E798-B798)</f>
        <v/>
      </c>
      <c r="G798" s="21">
        <f>IF(OR(B798="",B798=0),"",F798/B798)</f>
        <v/>
      </c>
      <c r="H798" s="13" t="n"/>
    </row>
    <row r="799" ht="19.5" customHeight="1" s="49">
      <c r="A799" s="6" t="n"/>
      <c r="B799" s="24" t="n"/>
      <c r="C799" s="29" t="n"/>
      <c r="D799" s="7">
        <f>IF(C799="","",C799*$B$1)</f>
        <v/>
      </c>
      <c r="E799" s="8">
        <f>IF(C799="","",C799-D799)</f>
        <v/>
      </c>
      <c r="F799" s="18">
        <f>IF(OR(B799="",C799=""),"",E799-B799)</f>
        <v/>
      </c>
      <c r="G799" s="20">
        <f>IF(OR(B799="",B799=0),"",F799/B799)</f>
        <v/>
      </c>
      <c r="H799" s="9" t="n"/>
    </row>
    <row r="800" ht="19.5" customHeight="1" s="49">
      <c r="A800" s="10" t="n"/>
      <c r="B800" s="25" t="n"/>
      <c r="C800" s="30" t="n"/>
      <c r="D800" s="11">
        <f>IF(C800="","",C800*$B$1)</f>
        <v/>
      </c>
      <c r="E800" s="12">
        <f>IF(C800="","",C800-D800)</f>
        <v/>
      </c>
      <c r="F800" s="19">
        <f>IF(OR(B800="",C800=""),"",E800-B800)</f>
        <v/>
      </c>
      <c r="G800" s="21">
        <f>IF(OR(B800="",B800=0),"",F800/B800)</f>
        <v/>
      </c>
      <c r="H800" s="13" t="n"/>
    </row>
    <row r="801" ht="19.5" customHeight="1" s="49">
      <c r="A801" s="6" t="n"/>
      <c r="B801" s="24" t="n"/>
      <c r="C801" s="29" t="n"/>
      <c r="D801" s="7">
        <f>IF(C801="","",C801*$B$1)</f>
        <v/>
      </c>
      <c r="E801" s="8">
        <f>IF(C801="","",C801-D801)</f>
        <v/>
      </c>
      <c r="F801" s="18">
        <f>IF(OR(B801="",C801=""),"",E801-B801)</f>
        <v/>
      </c>
      <c r="G801" s="20">
        <f>IF(OR(B801="",B801=0),"",F801/B801)</f>
        <v/>
      </c>
      <c r="H801" s="9" t="n"/>
    </row>
    <row r="802" ht="19.5" customHeight="1" s="49">
      <c r="A802" s="10" t="n"/>
      <c r="B802" s="25" t="n"/>
      <c r="C802" s="30" t="n"/>
      <c r="D802" s="11">
        <f>IF(C802="","",C802*$B$1)</f>
        <v/>
      </c>
      <c r="E802" s="12">
        <f>IF(C802="","",C802-D802)</f>
        <v/>
      </c>
      <c r="F802" s="19">
        <f>IF(OR(B802="",C802=""),"",E802-B802)</f>
        <v/>
      </c>
      <c r="G802" s="21">
        <f>IF(OR(B802="",B802=0),"",F802/B802)</f>
        <v/>
      </c>
      <c r="H802" s="13" t="n"/>
    </row>
    <row r="803" ht="19.5" customHeight="1" s="49">
      <c r="A803" s="6" t="n"/>
      <c r="B803" s="24" t="n"/>
      <c r="C803" s="29" t="n"/>
      <c r="D803" s="7">
        <f>IF(C803="","",C803*$B$1)</f>
        <v/>
      </c>
      <c r="E803" s="8">
        <f>IF(C803="","",C803-D803)</f>
        <v/>
      </c>
      <c r="F803" s="18">
        <f>IF(OR(B803="",C803=""),"",E803-B803)</f>
        <v/>
      </c>
      <c r="G803" s="20">
        <f>IF(OR(B803="",B803=0),"",F803/B803)</f>
        <v/>
      </c>
      <c r="H803" s="9" t="n"/>
    </row>
    <row r="804" ht="19.5" customHeight="1" s="49">
      <c r="A804" s="10" t="n"/>
      <c r="B804" s="25" t="n"/>
      <c r="C804" s="30" t="n"/>
      <c r="D804" s="11">
        <f>IF(C804="","",C804*$B$1)</f>
        <v/>
      </c>
      <c r="E804" s="12">
        <f>IF(C804="","",C804-D804)</f>
        <v/>
      </c>
      <c r="F804" s="19">
        <f>IF(OR(B804="",C804=""),"",E804-B804)</f>
        <v/>
      </c>
      <c r="G804" s="21">
        <f>IF(OR(B804="",B804=0),"",F804/B804)</f>
        <v/>
      </c>
      <c r="H804" s="13" t="n"/>
    </row>
    <row r="805" ht="19.5" customHeight="1" s="49">
      <c r="A805" s="6" t="n"/>
      <c r="B805" s="24" t="n"/>
      <c r="C805" s="29" t="n"/>
      <c r="D805" s="7">
        <f>IF(C805="","",C805*$B$1)</f>
        <v/>
      </c>
      <c r="E805" s="8">
        <f>IF(C805="","",C805-D805)</f>
        <v/>
      </c>
      <c r="F805" s="18">
        <f>IF(OR(B805="",C805=""),"",E805-B805)</f>
        <v/>
      </c>
      <c r="G805" s="20">
        <f>IF(OR(B805="",B805=0),"",F805/B805)</f>
        <v/>
      </c>
      <c r="H805" s="9" t="n"/>
    </row>
    <row r="806" ht="19.5" customHeight="1" s="49">
      <c r="A806" s="10" t="n"/>
      <c r="B806" s="25" t="n"/>
      <c r="C806" s="30" t="n"/>
      <c r="D806" s="11">
        <f>IF(C806="","",C806*$B$1)</f>
        <v/>
      </c>
      <c r="E806" s="12">
        <f>IF(C806="","",C806-D806)</f>
        <v/>
      </c>
      <c r="F806" s="19">
        <f>IF(OR(B806="",C806=""),"",E806-B806)</f>
        <v/>
      </c>
      <c r="G806" s="21">
        <f>IF(OR(B806="",B806=0),"",F806/B806)</f>
        <v/>
      </c>
      <c r="H806" s="13" t="n"/>
    </row>
    <row r="807" ht="19.5" customHeight="1" s="49">
      <c r="A807" s="6" t="n"/>
      <c r="B807" s="24" t="n"/>
      <c r="C807" s="29" t="n"/>
      <c r="D807" s="7">
        <f>IF(C807="","",C807*$B$1)</f>
        <v/>
      </c>
      <c r="E807" s="8">
        <f>IF(C807="","",C807-D807)</f>
        <v/>
      </c>
      <c r="F807" s="18">
        <f>IF(OR(B807="",C807=""),"",E807-B807)</f>
        <v/>
      </c>
      <c r="G807" s="20">
        <f>IF(OR(B807="",B807=0),"",F807/B807)</f>
        <v/>
      </c>
      <c r="H807" s="9" t="n"/>
    </row>
    <row r="808" ht="19.5" customHeight="1" s="49">
      <c r="A808" s="10" t="n"/>
      <c r="B808" s="25" t="n"/>
      <c r="C808" s="30" t="n"/>
      <c r="D808" s="11">
        <f>IF(C808="","",C808*$B$1)</f>
        <v/>
      </c>
      <c r="E808" s="12">
        <f>IF(C808="","",C808-D808)</f>
        <v/>
      </c>
      <c r="F808" s="19">
        <f>IF(OR(B808="",C808=""),"",E808-B808)</f>
        <v/>
      </c>
      <c r="G808" s="21">
        <f>IF(OR(B808="",B808=0),"",F808/B808)</f>
        <v/>
      </c>
      <c r="H808" s="13" t="n"/>
    </row>
    <row r="809" ht="19.5" customHeight="1" s="49">
      <c r="A809" s="6" t="n"/>
      <c r="B809" s="24" t="n"/>
      <c r="C809" s="29" t="n"/>
      <c r="D809" s="7">
        <f>IF(C809="","",C809*$B$1)</f>
        <v/>
      </c>
      <c r="E809" s="8">
        <f>IF(C809="","",C809-D809)</f>
        <v/>
      </c>
      <c r="F809" s="18">
        <f>IF(OR(B809="",C809=""),"",E809-B809)</f>
        <v/>
      </c>
      <c r="G809" s="20">
        <f>IF(OR(B809="",B809=0),"",F809/B809)</f>
        <v/>
      </c>
      <c r="H809" s="9" t="n"/>
    </row>
    <row r="810" ht="19.5" customHeight="1" s="49">
      <c r="A810" s="10" t="n"/>
      <c r="B810" s="25" t="n"/>
      <c r="C810" s="30" t="n"/>
      <c r="D810" s="11">
        <f>IF(C810="","",C810*$B$1)</f>
        <v/>
      </c>
      <c r="E810" s="12">
        <f>IF(C810="","",C810-D810)</f>
        <v/>
      </c>
      <c r="F810" s="19">
        <f>IF(OR(B810="",C810=""),"",E810-B810)</f>
        <v/>
      </c>
      <c r="G810" s="21">
        <f>IF(OR(B810="",B810=0),"",F810/B810)</f>
        <v/>
      </c>
      <c r="H810" s="13" t="n"/>
    </row>
    <row r="811" ht="19.5" customHeight="1" s="49">
      <c r="A811" s="6" t="n"/>
      <c r="B811" s="24" t="n"/>
      <c r="C811" s="29" t="n"/>
      <c r="D811" s="7">
        <f>IF(C811="","",C811*$B$1)</f>
        <v/>
      </c>
      <c r="E811" s="8">
        <f>IF(C811="","",C811-D811)</f>
        <v/>
      </c>
      <c r="F811" s="18">
        <f>IF(OR(B811="",C811=""),"",E811-B811)</f>
        <v/>
      </c>
      <c r="G811" s="20">
        <f>IF(OR(B811="",B811=0),"",F811/B811)</f>
        <v/>
      </c>
      <c r="H811" s="9" t="n"/>
    </row>
    <row r="812" ht="19.5" customHeight="1" s="49">
      <c r="A812" s="10" t="n"/>
      <c r="B812" s="25" t="n"/>
      <c r="C812" s="30" t="n"/>
      <c r="D812" s="11">
        <f>IF(C812="","",C812*$B$1)</f>
        <v/>
      </c>
      <c r="E812" s="12">
        <f>IF(C812="","",C812-D812)</f>
        <v/>
      </c>
      <c r="F812" s="19">
        <f>IF(OR(B812="",C812=""),"",E812-B812)</f>
        <v/>
      </c>
      <c r="G812" s="21">
        <f>IF(OR(B812="",B812=0),"",F812/B812)</f>
        <v/>
      </c>
      <c r="H812" s="13" t="n"/>
    </row>
    <row r="813" ht="19.5" customHeight="1" s="49">
      <c r="A813" s="6" t="n"/>
      <c r="B813" s="24" t="n"/>
      <c r="C813" s="29" t="n"/>
      <c r="D813" s="7">
        <f>IF(C813="","",C813*$B$1)</f>
        <v/>
      </c>
      <c r="E813" s="8">
        <f>IF(C813="","",C813-D813)</f>
        <v/>
      </c>
      <c r="F813" s="18">
        <f>IF(OR(B813="",C813=""),"",E813-B813)</f>
        <v/>
      </c>
      <c r="G813" s="20">
        <f>IF(OR(B813="",B813=0),"",F813/B813)</f>
        <v/>
      </c>
      <c r="H813" s="9" t="n"/>
    </row>
    <row r="814" ht="19.5" customHeight="1" s="49">
      <c r="A814" s="10" t="n"/>
      <c r="B814" s="25" t="n"/>
      <c r="C814" s="30" t="n"/>
      <c r="D814" s="11">
        <f>IF(C814="","",C814*$B$1)</f>
        <v/>
      </c>
      <c r="E814" s="12">
        <f>IF(C814="","",C814-D814)</f>
        <v/>
      </c>
      <c r="F814" s="19">
        <f>IF(OR(B814="",C814=""),"",E814-B814)</f>
        <v/>
      </c>
      <c r="G814" s="21">
        <f>IF(OR(B814="",B814=0),"",F814/B814)</f>
        <v/>
      </c>
      <c r="H814" s="13" t="n"/>
    </row>
    <row r="815" ht="19.5" customHeight="1" s="49">
      <c r="A815" s="6" t="n"/>
      <c r="B815" s="24" t="n"/>
      <c r="C815" s="29" t="n"/>
      <c r="D815" s="7">
        <f>IF(C815="","",C815*$B$1)</f>
        <v/>
      </c>
      <c r="E815" s="8">
        <f>IF(C815="","",C815-D815)</f>
        <v/>
      </c>
      <c r="F815" s="18">
        <f>IF(OR(B815="",C815=""),"",E815-B815)</f>
        <v/>
      </c>
      <c r="G815" s="20">
        <f>IF(OR(B815="",B815=0),"",F815/B815)</f>
        <v/>
      </c>
      <c r="H815" s="9" t="n"/>
    </row>
    <row r="816" ht="19.5" customHeight="1" s="49">
      <c r="A816" s="10" t="n"/>
      <c r="B816" s="25" t="n"/>
      <c r="C816" s="30" t="n"/>
      <c r="D816" s="11">
        <f>IF(C816="","",C816*$B$1)</f>
        <v/>
      </c>
      <c r="E816" s="12">
        <f>IF(C816="","",C816-D816)</f>
        <v/>
      </c>
      <c r="F816" s="19">
        <f>IF(OR(B816="",C816=""),"",E816-B816)</f>
        <v/>
      </c>
      <c r="G816" s="21">
        <f>IF(OR(B816="",B816=0),"",F816/B816)</f>
        <v/>
      </c>
      <c r="H816" s="13" t="n"/>
    </row>
    <row r="817" ht="19.5" customHeight="1" s="49">
      <c r="A817" s="6" t="n"/>
      <c r="B817" s="24" t="n"/>
      <c r="C817" s="29" t="n"/>
      <c r="D817" s="7">
        <f>IF(C817="","",C817*$B$1)</f>
        <v/>
      </c>
      <c r="E817" s="8">
        <f>IF(C817="","",C817-D817)</f>
        <v/>
      </c>
      <c r="F817" s="18">
        <f>IF(OR(B817="",C817=""),"",E817-B817)</f>
        <v/>
      </c>
      <c r="G817" s="20">
        <f>IF(OR(B817="",B817=0),"",F817/B817)</f>
        <v/>
      </c>
      <c r="H817" s="9" t="n"/>
    </row>
    <row r="818" ht="19.5" customHeight="1" s="49">
      <c r="A818" s="10" t="n"/>
      <c r="B818" s="25" t="n"/>
      <c r="C818" s="30" t="n"/>
      <c r="D818" s="11">
        <f>IF(C818="","",C818*$B$1)</f>
        <v/>
      </c>
      <c r="E818" s="12">
        <f>IF(C818="","",C818-D818)</f>
        <v/>
      </c>
      <c r="F818" s="19">
        <f>IF(OR(B818="",C818=""),"",E818-B818)</f>
        <v/>
      </c>
      <c r="G818" s="21">
        <f>IF(OR(B818="",B818=0),"",F818/B818)</f>
        <v/>
      </c>
      <c r="H818" s="13" t="n"/>
    </row>
    <row r="819" ht="19.5" customHeight="1" s="49">
      <c r="A819" s="6" t="n"/>
      <c r="B819" s="24" t="n"/>
      <c r="C819" s="29" t="n"/>
      <c r="D819" s="7">
        <f>IF(C819="","",C819*$B$1)</f>
        <v/>
      </c>
      <c r="E819" s="8">
        <f>IF(C819="","",C819-D819)</f>
        <v/>
      </c>
      <c r="F819" s="18">
        <f>IF(OR(B819="",C819=""),"",E819-B819)</f>
        <v/>
      </c>
      <c r="G819" s="20">
        <f>IF(OR(B819="",B819=0),"",F819/B819)</f>
        <v/>
      </c>
      <c r="H819" s="9" t="n"/>
    </row>
    <row r="820" ht="19.5" customHeight="1" s="49">
      <c r="A820" s="10" t="n"/>
      <c r="B820" s="25" t="n"/>
      <c r="C820" s="30" t="n"/>
      <c r="D820" s="11">
        <f>IF(C820="","",C820*$B$1)</f>
        <v/>
      </c>
      <c r="E820" s="12">
        <f>IF(C820="","",C820-D820)</f>
        <v/>
      </c>
      <c r="F820" s="19">
        <f>IF(OR(B820="",C820=""),"",E820-B820)</f>
        <v/>
      </c>
      <c r="G820" s="21">
        <f>IF(OR(B820="",B820=0),"",F820/B820)</f>
        <v/>
      </c>
      <c r="H820" s="13" t="n"/>
    </row>
    <row r="821" ht="19.5" customHeight="1" s="49">
      <c r="A821" s="6" t="n"/>
      <c r="B821" s="24" t="n"/>
      <c r="C821" s="29" t="n"/>
      <c r="D821" s="7">
        <f>IF(C821="","",C821*$B$1)</f>
        <v/>
      </c>
      <c r="E821" s="8">
        <f>IF(C821="","",C821-D821)</f>
        <v/>
      </c>
      <c r="F821" s="18">
        <f>IF(OR(B821="",C821=""),"",E821-B821)</f>
        <v/>
      </c>
      <c r="G821" s="20">
        <f>IF(OR(B821="",B821=0),"",F821/B821)</f>
        <v/>
      </c>
      <c r="H821" s="9" t="n"/>
    </row>
    <row r="822" ht="19.5" customHeight="1" s="49">
      <c r="A822" s="10" t="n"/>
      <c r="B822" s="25" t="n"/>
      <c r="C822" s="30" t="n"/>
      <c r="D822" s="11">
        <f>IF(C822="","",C822*$B$1)</f>
        <v/>
      </c>
      <c r="E822" s="12">
        <f>IF(C822="","",C822-D822)</f>
        <v/>
      </c>
      <c r="F822" s="19">
        <f>IF(OR(B822="",C822=""),"",E822-B822)</f>
        <v/>
      </c>
      <c r="G822" s="21">
        <f>IF(OR(B822="",B822=0),"",F822/B822)</f>
        <v/>
      </c>
      <c r="H822" s="13" t="n"/>
    </row>
    <row r="823" ht="19.5" customHeight="1" s="49">
      <c r="A823" s="6" t="n"/>
      <c r="B823" s="24" t="n"/>
      <c r="C823" s="29" t="n"/>
      <c r="D823" s="7">
        <f>IF(C823="","",C823*$B$1)</f>
        <v/>
      </c>
      <c r="E823" s="8">
        <f>IF(C823="","",C823-D823)</f>
        <v/>
      </c>
      <c r="F823" s="18">
        <f>IF(OR(B823="",C823=""),"",E823-B823)</f>
        <v/>
      </c>
      <c r="G823" s="20">
        <f>IF(OR(B823="",B823=0),"",F823/B823)</f>
        <v/>
      </c>
      <c r="H823" s="9" t="n"/>
    </row>
    <row r="824" ht="19.5" customHeight="1" s="49">
      <c r="A824" s="10" t="n"/>
      <c r="B824" s="25" t="n"/>
      <c r="C824" s="30" t="n"/>
      <c r="D824" s="11">
        <f>IF(C824="","",C824*$B$1)</f>
        <v/>
      </c>
      <c r="E824" s="12">
        <f>IF(C824="","",C824-D824)</f>
        <v/>
      </c>
      <c r="F824" s="19">
        <f>IF(OR(B824="",C824=""),"",E824-B824)</f>
        <v/>
      </c>
      <c r="G824" s="21">
        <f>IF(OR(B824="",B824=0),"",F824/B824)</f>
        <v/>
      </c>
      <c r="H824" s="13" t="n"/>
    </row>
    <row r="825" ht="19.5" customHeight="1" s="49">
      <c r="A825" s="6" t="n"/>
      <c r="B825" s="24" t="n"/>
      <c r="C825" s="29" t="n"/>
      <c r="D825" s="7">
        <f>IF(C825="","",C825*$B$1)</f>
        <v/>
      </c>
      <c r="E825" s="8">
        <f>IF(C825="","",C825-D825)</f>
        <v/>
      </c>
      <c r="F825" s="18">
        <f>IF(OR(B825="",C825=""),"",E825-B825)</f>
        <v/>
      </c>
      <c r="G825" s="20">
        <f>IF(OR(B825="",B825=0),"",F825/B825)</f>
        <v/>
      </c>
      <c r="H825" s="9" t="n"/>
    </row>
    <row r="826" ht="19.5" customHeight="1" s="49">
      <c r="A826" s="10" t="n"/>
      <c r="B826" s="25" t="n"/>
      <c r="C826" s="30" t="n"/>
      <c r="D826" s="11">
        <f>IF(C826="","",C826*$B$1)</f>
        <v/>
      </c>
      <c r="E826" s="12">
        <f>IF(C826="","",C826-D826)</f>
        <v/>
      </c>
      <c r="F826" s="19">
        <f>IF(OR(B826="",C826=""),"",E826-B826)</f>
        <v/>
      </c>
      <c r="G826" s="21">
        <f>IF(OR(B826="",B826=0),"",F826/B826)</f>
        <v/>
      </c>
      <c r="H826" s="13" t="n"/>
    </row>
    <row r="827" ht="19.5" customHeight="1" s="49">
      <c r="A827" s="6" t="n"/>
      <c r="B827" s="24" t="n"/>
      <c r="C827" s="29" t="n"/>
      <c r="D827" s="7">
        <f>IF(C827="","",C827*$B$1)</f>
        <v/>
      </c>
      <c r="E827" s="8">
        <f>IF(C827="","",C827-D827)</f>
        <v/>
      </c>
      <c r="F827" s="18">
        <f>IF(OR(B827="",C827=""),"",E827-B827)</f>
        <v/>
      </c>
      <c r="G827" s="20">
        <f>IF(OR(B827="",B827=0),"",F827/B827)</f>
        <v/>
      </c>
      <c r="H827" s="9" t="n"/>
    </row>
    <row r="828" ht="19.5" customHeight="1" s="49">
      <c r="A828" s="10" t="n"/>
      <c r="B828" s="25" t="n"/>
      <c r="C828" s="30" t="n"/>
      <c r="D828" s="11">
        <f>IF(C828="","",C828*$B$1)</f>
        <v/>
      </c>
      <c r="E828" s="12">
        <f>IF(C828="","",C828-D828)</f>
        <v/>
      </c>
      <c r="F828" s="19">
        <f>IF(OR(B828="",C828=""),"",E828-B828)</f>
        <v/>
      </c>
      <c r="G828" s="21">
        <f>IF(OR(B828="",B828=0),"",F828/B828)</f>
        <v/>
      </c>
      <c r="H828" s="13" t="n"/>
    </row>
    <row r="829" ht="19.5" customHeight="1" s="49">
      <c r="A829" s="6" t="n"/>
      <c r="B829" s="24" t="n"/>
      <c r="C829" s="29" t="n"/>
      <c r="D829" s="7">
        <f>IF(C829="","",C829*$B$1)</f>
        <v/>
      </c>
      <c r="E829" s="8">
        <f>IF(C829="","",C829-D829)</f>
        <v/>
      </c>
      <c r="F829" s="18">
        <f>IF(OR(B829="",C829=""),"",E829-B829)</f>
        <v/>
      </c>
      <c r="G829" s="20">
        <f>IF(OR(B829="",B829=0),"",F829/B829)</f>
        <v/>
      </c>
      <c r="H829" s="9" t="n"/>
    </row>
    <row r="830" ht="19.5" customHeight="1" s="49">
      <c r="A830" s="10" t="n"/>
      <c r="B830" s="25" t="n"/>
      <c r="C830" s="30" t="n"/>
      <c r="D830" s="11">
        <f>IF(C830="","",C830*$B$1)</f>
        <v/>
      </c>
      <c r="E830" s="12">
        <f>IF(C830="","",C830-D830)</f>
        <v/>
      </c>
      <c r="F830" s="19">
        <f>IF(OR(B830="",C830=""),"",E830-B830)</f>
        <v/>
      </c>
      <c r="G830" s="21">
        <f>IF(OR(B830="",B830=0),"",F830/B830)</f>
        <v/>
      </c>
      <c r="H830" s="13" t="n"/>
    </row>
    <row r="831" ht="19.5" customHeight="1" s="49">
      <c r="A831" s="6" t="n"/>
      <c r="B831" s="24" t="n"/>
      <c r="C831" s="29" t="n"/>
      <c r="D831" s="7">
        <f>IF(C831="","",C831*$B$1)</f>
        <v/>
      </c>
      <c r="E831" s="8">
        <f>IF(C831="","",C831-D831)</f>
        <v/>
      </c>
      <c r="F831" s="18">
        <f>IF(OR(B831="",C831=""),"",E831-B831)</f>
        <v/>
      </c>
      <c r="G831" s="20">
        <f>IF(OR(B831="",B831=0),"",F831/B831)</f>
        <v/>
      </c>
      <c r="H831" s="9" t="n"/>
    </row>
    <row r="832" ht="19.5" customHeight="1" s="49">
      <c r="A832" s="10" t="n"/>
      <c r="B832" s="25" t="n"/>
      <c r="C832" s="30" t="n"/>
      <c r="D832" s="11">
        <f>IF(C832="","",C832*$B$1)</f>
        <v/>
      </c>
      <c r="E832" s="12">
        <f>IF(C832="","",C832-D832)</f>
        <v/>
      </c>
      <c r="F832" s="19">
        <f>IF(OR(B832="",C832=""),"",E832-B832)</f>
        <v/>
      </c>
      <c r="G832" s="21">
        <f>IF(OR(B832="",B832=0),"",F832/B832)</f>
        <v/>
      </c>
      <c r="H832" s="13" t="n"/>
    </row>
    <row r="833" ht="19.5" customHeight="1" s="49">
      <c r="A833" s="6" t="n"/>
      <c r="B833" s="24" t="n"/>
      <c r="C833" s="29" t="n"/>
      <c r="D833" s="7">
        <f>IF(C833="","",C833*$B$1)</f>
        <v/>
      </c>
      <c r="E833" s="8">
        <f>IF(C833="","",C833-D833)</f>
        <v/>
      </c>
      <c r="F833" s="18">
        <f>IF(OR(B833="",C833=""),"",E833-B833)</f>
        <v/>
      </c>
      <c r="G833" s="20">
        <f>IF(OR(B833="",B833=0),"",F833/B833)</f>
        <v/>
      </c>
      <c r="H833" s="9" t="n"/>
    </row>
    <row r="834" ht="19.5" customHeight="1" s="49">
      <c r="A834" s="10" t="n"/>
      <c r="B834" s="25" t="n"/>
      <c r="C834" s="30" t="n"/>
      <c r="D834" s="11">
        <f>IF(C834="","",C834*$B$1)</f>
        <v/>
      </c>
      <c r="E834" s="12">
        <f>IF(C834="","",C834-D834)</f>
        <v/>
      </c>
      <c r="F834" s="19">
        <f>IF(OR(B834="",C834=""),"",E834-B834)</f>
        <v/>
      </c>
      <c r="G834" s="21">
        <f>IF(OR(B834="",B834=0),"",F834/B834)</f>
        <v/>
      </c>
      <c r="H834" s="13" t="n"/>
    </row>
    <row r="835" ht="19.5" customHeight="1" s="49">
      <c r="A835" s="6" t="n"/>
      <c r="B835" s="24" t="n"/>
      <c r="C835" s="29" t="n"/>
      <c r="D835" s="7">
        <f>IF(C835="","",C835*$B$1)</f>
        <v/>
      </c>
      <c r="E835" s="8">
        <f>IF(C835="","",C835-D835)</f>
        <v/>
      </c>
      <c r="F835" s="18">
        <f>IF(OR(B835="",C835=""),"",E835-B835)</f>
        <v/>
      </c>
      <c r="G835" s="20">
        <f>IF(OR(B835="",B835=0),"",F835/B835)</f>
        <v/>
      </c>
      <c r="H835" s="9" t="n"/>
    </row>
    <row r="836" ht="19.5" customHeight="1" s="49">
      <c r="A836" s="10" t="n"/>
      <c r="B836" s="25" t="n"/>
      <c r="C836" s="30" t="n"/>
      <c r="D836" s="11">
        <f>IF(C836="","",C836*$B$1)</f>
        <v/>
      </c>
      <c r="E836" s="12">
        <f>IF(C836="","",C836-D836)</f>
        <v/>
      </c>
      <c r="F836" s="19">
        <f>IF(OR(B836="",C836=""),"",E836-B836)</f>
        <v/>
      </c>
      <c r="G836" s="21">
        <f>IF(OR(B836="",B836=0),"",F836/B836)</f>
        <v/>
      </c>
      <c r="H836" s="13" t="n"/>
    </row>
    <row r="837" ht="19.5" customHeight="1" s="49">
      <c r="A837" s="6" t="n"/>
      <c r="B837" s="24" t="n"/>
      <c r="C837" s="29" t="n"/>
      <c r="D837" s="7">
        <f>IF(C837="","",C837*$B$1)</f>
        <v/>
      </c>
      <c r="E837" s="8">
        <f>IF(C837="","",C837-D837)</f>
        <v/>
      </c>
      <c r="F837" s="18">
        <f>IF(OR(B837="",C837=""),"",E837-B837)</f>
        <v/>
      </c>
      <c r="G837" s="20">
        <f>IF(OR(B837="",B837=0),"",F837/B837)</f>
        <v/>
      </c>
      <c r="H837" s="9" t="n"/>
    </row>
    <row r="838" ht="19.5" customHeight="1" s="49">
      <c r="A838" s="10" t="n"/>
      <c r="B838" s="25" t="n"/>
      <c r="C838" s="30" t="n"/>
      <c r="D838" s="11">
        <f>IF(C838="","",C838*$B$1)</f>
        <v/>
      </c>
      <c r="E838" s="12">
        <f>IF(C838="","",C838-D838)</f>
        <v/>
      </c>
      <c r="F838" s="19">
        <f>IF(OR(B838="",C838=""),"",E838-B838)</f>
        <v/>
      </c>
      <c r="G838" s="21">
        <f>IF(OR(B838="",B838=0),"",F838/B838)</f>
        <v/>
      </c>
      <c r="H838" s="13" t="n"/>
    </row>
    <row r="839" ht="19.5" customHeight="1" s="49">
      <c r="A839" s="6" t="n"/>
      <c r="B839" s="24" t="n"/>
      <c r="C839" s="29" t="n"/>
      <c r="D839" s="7">
        <f>IF(C839="","",C839*$B$1)</f>
        <v/>
      </c>
      <c r="E839" s="8">
        <f>IF(C839="","",C839-D839)</f>
        <v/>
      </c>
      <c r="F839" s="18">
        <f>IF(OR(B839="",C839=""),"",E839-B839)</f>
        <v/>
      </c>
      <c r="G839" s="20">
        <f>IF(OR(B839="",B839=0),"",F839/B839)</f>
        <v/>
      </c>
      <c r="H839" s="9" t="n"/>
    </row>
    <row r="840" ht="19.5" customHeight="1" s="49">
      <c r="A840" s="10" t="n"/>
      <c r="B840" s="25" t="n"/>
      <c r="C840" s="30" t="n"/>
      <c r="D840" s="11">
        <f>IF(C840="","",C840*$B$1)</f>
        <v/>
      </c>
      <c r="E840" s="12">
        <f>IF(C840="","",C840-D840)</f>
        <v/>
      </c>
      <c r="F840" s="19">
        <f>IF(OR(B840="",C840=""),"",E840-B840)</f>
        <v/>
      </c>
      <c r="G840" s="21">
        <f>IF(OR(B840="",B840=0),"",F840/B840)</f>
        <v/>
      </c>
      <c r="H840" s="13" t="n"/>
    </row>
    <row r="841" ht="19.5" customHeight="1" s="49">
      <c r="A841" s="6" t="n"/>
      <c r="B841" s="24" t="n"/>
      <c r="C841" s="29" t="n"/>
      <c r="D841" s="7">
        <f>IF(C841="","",C841*$B$1)</f>
        <v/>
      </c>
      <c r="E841" s="8">
        <f>IF(C841="","",C841-D841)</f>
        <v/>
      </c>
      <c r="F841" s="18">
        <f>IF(OR(B841="",C841=""),"",E841-B841)</f>
        <v/>
      </c>
      <c r="G841" s="20">
        <f>IF(OR(B841="",B841=0),"",F841/B841)</f>
        <v/>
      </c>
      <c r="H841" s="9" t="n"/>
    </row>
    <row r="842" ht="19.5" customHeight="1" s="49">
      <c r="A842" s="10" t="n"/>
      <c r="B842" s="25" t="n"/>
      <c r="C842" s="30" t="n"/>
      <c r="D842" s="11">
        <f>IF(C842="","",C842*$B$1)</f>
        <v/>
      </c>
      <c r="E842" s="12">
        <f>IF(C842="","",C842-D842)</f>
        <v/>
      </c>
      <c r="F842" s="19">
        <f>IF(OR(B842="",C842=""),"",E842-B842)</f>
        <v/>
      </c>
      <c r="G842" s="21">
        <f>IF(OR(B842="",B842=0),"",F842/B842)</f>
        <v/>
      </c>
      <c r="H842" s="13" t="n"/>
    </row>
    <row r="843" ht="19.5" customHeight="1" s="49">
      <c r="A843" s="6" t="n"/>
      <c r="B843" s="24" t="n"/>
      <c r="C843" s="29" t="n"/>
      <c r="D843" s="7">
        <f>IF(C843="","",C843*$B$1)</f>
        <v/>
      </c>
      <c r="E843" s="8">
        <f>IF(C843="","",C843-D843)</f>
        <v/>
      </c>
      <c r="F843" s="18">
        <f>IF(OR(B843="",C843=""),"",E843-B843)</f>
        <v/>
      </c>
      <c r="G843" s="20">
        <f>IF(OR(B843="",B843=0),"",F843/B843)</f>
        <v/>
      </c>
      <c r="H843" s="9" t="n"/>
    </row>
    <row r="844" ht="19.5" customHeight="1" s="49">
      <c r="A844" s="10" t="n"/>
      <c r="B844" s="25" t="n"/>
      <c r="C844" s="30" t="n"/>
      <c r="D844" s="11">
        <f>IF(C844="","",C844*$B$1)</f>
        <v/>
      </c>
      <c r="E844" s="12">
        <f>IF(C844="","",C844-D844)</f>
        <v/>
      </c>
      <c r="F844" s="19">
        <f>IF(OR(B844="",C844=""),"",E844-B844)</f>
        <v/>
      </c>
      <c r="G844" s="21">
        <f>IF(OR(B844="",B844=0),"",F844/B844)</f>
        <v/>
      </c>
      <c r="H844" s="13" t="n"/>
    </row>
    <row r="845" ht="19.5" customHeight="1" s="49">
      <c r="A845" s="6" t="n"/>
      <c r="B845" s="24" t="n"/>
      <c r="C845" s="29" t="n"/>
      <c r="D845" s="7">
        <f>IF(C845="","",C845*$B$1)</f>
        <v/>
      </c>
      <c r="E845" s="8">
        <f>IF(C845="","",C845-D845)</f>
        <v/>
      </c>
      <c r="F845" s="18">
        <f>IF(OR(B845="",C845=""),"",E845-B845)</f>
        <v/>
      </c>
      <c r="G845" s="20">
        <f>IF(OR(B845="",B845=0),"",F845/B845)</f>
        <v/>
      </c>
      <c r="H845" s="9" t="n"/>
    </row>
    <row r="846" ht="19.5" customHeight="1" s="49">
      <c r="A846" s="10" t="n"/>
      <c r="B846" s="25" t="n"/>
      <c r="C846" s="30" t="n"/>
      <c r="D846" s="11">
        <f>IF(C846="","",C846*$B$1)</f>
        <v/>
      </c>
      <c r="E846" s="12">
        <f>IF(C846="","",C846-D846)</f>
        <v/>
      </c>
      <c r="F846" s="19">
        <f>IF(OR(B846="",C846=""),"",E846-B846)</f>
        <v/>
      </c>
      <c r="G846" s="21">
        <f>IF(OR(B846="",B846=0),"",F846/B846)</f>
        <v/>
      </c>
      <c r="H846" s="13" t="n"/>
    </row>
    <row r="847" ht="19.5" customHeight="1" s="49">
      <c r="A847" s="6" t="n"/>
      <c r="B847" s="24" t="n"/>
      <c r="C847" s="29" t="n"/>
      <c r="D847" s="7">
        <f>IF(C847="","",C847*$B$1)</f>
        <v/>
      </c>
      <c r="E847" s="8">
        <f>IF(C847="","",C847-D847)</f>
        <v/>
      </c>
      <c r="F847" s="18">
        <f>IF(OR(B847="",C847=""),"",E847-B847)</f>
        <v/>
      </c>
      <c r="G847" s="20">
        <f>IF(OR(B847="",B847=0),"",F847/B847)</f>
        <v/>
      </c>
      <c r="H847" s="9" t="n"/>
    </row>
    <row r="848" ht="19.5" customHeight="1" s="49">
      <c r="A848" s="10" t="n"/>
      <c r="B848" s="25" t="n"/>
      <c r="C848" s="30" t="n"/>
      <c r="D848" s="11">
        <f>IF(C848="","",C848*$B$1)</f>
        <v/>
      </c>
      <c r="E848" s="12">
        <f>IF(C848="","",C848-D848)</f>
        <v/>
      </c>
      <c r="F848" s="19">
        <f>IF(OR(B848="",C848=""),"",E848-B848)</f>
        <v/>
      </c>
      <c r="G848" s="21">
        <f>IF(OR(B848="",B848=0),"",F848/B848)</f>
        <v/>
      </c>
      <c r="H848" s="13" t="n"/>
    </row>
    <row r="849" ht="19.5" customHeight="1" s="49">
      <c r="A849" s="6" t="n"/>
      <c r="B849" s="24" t="n"/>
      <c r="C849" s="29" t="n"/>
      <c r="D849" s="7">
        <f>IF(C849="","",C849*$B$1)</f>
        <v/>
      </c>
      <c r="E849" s="8">
        <f>IF(C849="","",C849-D849)</f>
        <v/>
      </c>
      <c r="F849" s="18">
        <f>IF(OR(B849="",C849=""),"",E849-B849)</f>
        <v/>
      </c>
      <c r="G849" s="20">
        <f>IF(OR(B849="",B849=0),"",F849/B849)</f>
        <v/>
      </c>
      <c r="H849" s="9" t="n"/>
    </row>
    <row r="850" ht="19.5" customHeight="1" s="49">
      <c r="A850" s="10" t="n"/>
      <c r="B850" s="25" t="n"/>
      <c r="C850" s="30" t="n"/>
      <c r="D850" s="11">
        <f>IF(C850="","",C850*$B$1)</f>
        <v/>
      </c>
      <c r="E850" s="12">
        <f>IF(C850="","",C850-D850)</f>
        <v/>
      </c>
      <c r="F850" s="19">
        <f>IF(OR(B850="",C850=""),"",E850-B850)</f>
        <v/>
      </c>
      <c r="G850" s="21">
        <f>IF(OR(B850="",B850=0),"",F850/B850)</f>
        <v/>
      </c>
      <c r="H850" s="13" t="n"/>
    </row>
    <row r="851" ht="19.5" customHeight="1" s="49">
      <c r="A851" s="6" t="n"/>
      <c r="B851" s="24" t="n"/>
      <c r="C851" s="29" t="n"/>
      <c r="D851" s="7">
        <f>IF(C851="","",C851*$B$1)</f>
        <v/>
      </c>
      <c r="E851" s="8">
        <f>IF(C851="","",C851-D851)</f>
        <v/>
      </c>
      <c r="F851" s="18">
        <f>IF(OR(B851="",C851=""),"",E851-B851)</f>
        <v/>
      </c>
      <c r="G851" s="20">
        <f>IF(OR(B851="",B851=0),"",F851/B851)</f>
        <v/>
      </c>
      <c r="H851" s="9" t="n"/>
    </row>
    <row r="852" ht="19.5" customHeight="1" s="49">
      <c r="A852" s="10" t="n"/>
      <c r="B852" s="25" t="n"/>
      <c r="C852" s="30" t="n"/>
      <c r="D852" s="11">
        <f>IF(C852="","",C852*$B$1)</f>
        <v/>
      </c>
      <c r="E852" s="12">
        <f>IF(C852="","",C852-D852)</f>
        <v/>
      </c>
      <c r="F852" s="19">
        <f>IF(OR(B852="",C852=""),"",E852-B852)</f>
        <v/>
      </c>
      <c r="G852" s="21">
        <f>IF(OR(B852="",B852=0),"",F852/B852)</f>
        <v/>
      </c>
      <c r="H852" s="13" t="n"/>
    </row>
    <row r="853" ht="19.5" customHeight="1" s="49">
      <c r="A853" s="6" t="n"/>
      <c r="B853" s="24" t="n"/>
      <c r="C853" s="29" t="n"/>
      <c r="D853" s="7">
        <f>IF(C853="","",C853*$B$1)</f>
        <v/>
      </c>
      <c r="E853" s="8">
        <f>IF(C853="","",C853-D853)</f>
        <v/>
      </c>
      <c r="F853" s="18">
        <f>IF(OR(B853="",C853=""),"",E853-B853)</f>
        <v/>
      </c>
      <c r="G853" s="20">
        <f>IF(OR(B853="",B853=0),"",F853/B853)</f>
        <v/>
      </c>
      <c r="H853" s="9" t="n"/>
    </row>
    <row r="854" ht="19.5" customHeight="1" s="49">
      <c r="A854" s="10" t="n"/>
      <c r="B854" s="25" t="n"/>
      <c r="C854" s="30" t="n"/>
      <c r="D854" s="11">
        <f>IF(C854="","",C854*$B$1)</f>
        <v/>
      </c>
      <c r="E854" s="12">
        <f>IF(C854="","",C854-D854)</f>
        <v/>
      </c>
      <c r="F854" s="19">
        <f>IF(OR(B854="",C854=""),"",E854-B854)</f>
        <v/>
      </c>
      <c r="G854" s="21">
        <f>IF(OR(B854="",B854=0),"",F854/B854)</f>
        <v/>
      </c>
      <c r="H854" s="13" t="n"/>
    </row>
    <row r="855" ht="19.5" customHeight="1" s="49">
      <c r="A855" s="6" t="n"/>
      <c r="B855" s="24" t="n"/>
      <c r="C855" s="29" t="n"/>
      <c r="D855" s="7">
        <f>IF(C855="","",C855*$B$1)</f>
        <v/>
      </c>
      <c r="E855" s="8">
        <f>IF(C855="","",C855-D855)</f>
        <v/>
      </c>
      <c r="F855" s="18">
        <f>IF(OR(B855="",C855=""),"",E855-B855)</f>
        <v/>
      </c>
      <c r="G855" s="20">
        <f>IF(OR(B855="",B855=0),"",F855/B855)</f>
        <v/>
      </c>
      <c r="H855" s="9" t="n"/>
    </row>
    <row r="856" ht="19.5" customHeight="1" s="49">
      <c r="A856" s="10" t="n"/>
      <c r="B856" s="25" t="n"/>
      <c r="C856" s="30" t="n"/>
      <c r="D856" s="11">
        <f>IF(C856="","",C856*$B$1)</f>
        <v/>
      </c>
      <c r="E856" s="12">
        <f>IF(C856="","",C856-D856)</f>
        <v/>
      </c>
      <c r="F856" s="19">
        <f>IF(OR(B856="",C856=""),"",E856-B856)</f>
        <v/>
      </c>
      <c r="G856" s="21">
        <f>IF(OR(B856="",B856=0),"",F856/B856)</f>
        <v/>
      </c>
      <c r="H856" s="13" t="n"/>
    </row>
    <row r="857" ht="19.5" customHeight="1" s="49">
      <c r="A857" s="6" t="n"/>
      <c r="B857" s="24" t="n"/>
      <c r="C857" s="29" t="n"/>
      <c r="D857" s="7">
        <f>IF(C857="","",C857*$B$1)</f>
        <v/>
      </c>
      <c r="E857" s="8">
        <f>IF(C857="","",C857-D857)</f>
        <v/>
      </c>
      <c r="F857" s="18">
        <f>IF(OR(B857="",C857=""),"",E857-B857)</f>
        <v/>
      </c>
      <c r="G857" s="20">
        <f>IF(OR(B857="",B857=0),"",F857/B857)</f>
        <v/>
      </c>
      <c r="H857" s="9" t="n"/>
    </row>
    <row r="858" ht="19.5" customHeight="1" s="49">
      <c r="A858" s="10" t="n"/>
      <c r="B858" s="25" t="n"/>
      <c r="C858" s="30" t="n"/>
      <c r="D858" s="11">
        <f>IF(C858="","",C858*$B$1)</f>
        <v/>
      </c>
      <c r="E858" s="12">
        <f>IF(C858="","",C858-D858)</f>
        <v/>
      </c>
      <c r="F858" s="19">
        <f>IF(OR(B858="",C858=""),"",E858-B858)</f>
        <v/>
      </c>
      <c r="G858" s="21">
        <f>IF(OR(B858="",B858=0),"",F858/B858)</f>
        <v/>
      </c>
      <c r="H858" s="13" t="n"/>
    </row>
    <row r="859" ht="19.5" customHeight="1" s="49">
      <c r="A859" s="6" t="n"/>
      <c r="B859" s="24" t="n"/>
      <c r="C859" s="29" t="n"/>
      <c r="D859" s="7">
        <f>IF(C859="","",C859*$B$1)</f>
        <v/>
      </c>
      <c r="E859" s="8">
        <f>IF(C859="","",C859-D859)</f>
        <v/>
      </c>
      <c r="F859" s="18">
        <f>IF(OR(B859="",C859=""),"",E859-B859)</f>
        <v/>
      </c>
      <c r="G859" s="20">
        <f>IF(OR(B859="",B859=0),"",F859/B859)</f>
        <v/>
      </c>
      <c r="H859" s="9" t="n"/>
    </row>
    <row r="860" ht="19.5" customHeight="1" s="49">
      <c r="A860" s="10" t="n"/>
      <c r="B860" s="25" t="n"/>
      <c r="C860" s="30" t="n"/>
      <c r="D860" s="11">
        <f>IF(C860="","",C860*$B$1)</f>
        <v/>
      </c>
      <c r="E860" s="12">
        <f>IF(C860="","",C860-D860)</f>
        <v/>
      </c>
      <c r="F860" s="19">
        <f>IF(OR(B860="",C860=""),"",E860-B860)</f>
        <v/>
      </c>
      <c r="G860" s="21">
        <f>IF(OR(B860="",B860=0),"",F860/B860)</f>
        <v/>
      </c>
      <c r="H860" s="13" t="n"/>
    </row>
    <row r="861" ht="19.5" customHeight="1" s="49">
      <c r="A861" s="6" t="n"/>
      <c r="B861" s="24" t="n"/>
      <c r="C861" s="29" t="n"/>
      <c r="D861" s="7">
        <f>IF(C861="","",C861*$B$1)</f>
        <v/>
      </c>
      <c r="E861" s="8">
        <f>IF(C861="","",C861-D861)</f>
        <v/>
      </c>
      <c r="F861" s="18">
        <f>IF(OR(B861="",C861=""),"",E861-B861)</f>
        <v/>
      </c>
      <c r="G861" s="20">
        <f>IF(OR(B861="",B861=0),"",F861/B861)</f>
        <v/>
      </c>
      <c r="H861" s="9" t="n"/>
    </row>
    <row r="862" ht="19.5" customHeight="1" s="49">
      <c r="A862" s="10" t="n"/>
      <c r="B862" s="25" t="n"/>
      <c r="C862" s="30" t="n"/>
      <c r="D862" s="11">
        <f>IF(C862="","",C862*$B$1)</f>
        <v/>
      </c>
      <c r="E862" s="12">
        <f>IF(C862="","",C862-D862)</f>
        <v/>
      </c>
      <c r="F862" s="19">
        <f>IF(OR(B862="",C862=""),"",E862-B862)</f>
        <v/>
      </c>
      <c r="G862" s="21">
        <f>IF(OR(B862="",B862=0),"",F862/B862)</f>
        <v/>
      </c>
      <c r="H862" s="13" t="n"/>
    </row>
    <row r="863" ht="19.5" customHeight="1" s="49">
      <c r="A863" s="6" t="n"/>
      <c r="B863" s="24" t="n"/>
      <c r="C863" s="29" t="n"/>
      <c r="D863" s="7">
        <f>IF(C863="","",C863*$B$1)</f>
        <v/>
      </c>
      <c r="E863" s="8">
        <f>IF(C863="","",C863-D863)</f>
        <v/>
      </c>
      <c r="F863" s="18">
        <f>IF(OR(B863="",C863=""),"",E863-B863)</f>
        <v/>
      </c>
      <c r="G863" s="20">
        <f>IF(OR(B863="",B863=0),"",F863/B863)</f>
        <v/>
      </c>
      <c r="H863" s="9" t="n"/>
    </row>
    <row r="864" ht="19.5" customHeight="1" s="49">
      <c r="A864" s="10" t="n"/>
      <c r="B864" s="25" t="n"/>
      <c r="C864" s="30" t="n"/>
      <c r="D864" s="11">
        <f>IF(C864="","",C864*$B$1)</f>
        <v/>
      </c>
      <c r="E864" s="12">
        <f>IF(C864="","",C864-D864)</f>
        <v/>
      </c>
      <c r="F864" s="19">
        <f>IF(OR(B864="",C864=""),"",E864-B864)</f>
        <v/>
      </c>
      <c r="G864" s="21">
        <f>IF(OR(B864="",B864=0),"",F864/B864)</f>
        <v/>
      </c>
      <c r="H864" s="13" t="n"/>
    </row>
    <row r="865" ht="19.5" customHeight="1" s="49">
      <c r="A865" s="6" t="n"/>
      <c r="B865" s="24" t="n"/>
      <c r="C865" s="29" t="n"/>
      <c r="D865" s="7">
        <f>IF(C865="","",C865*$B$1)</f>
        <v/>
      </c>
      <c r="E865" s="8">
        <f>IF(C865="","",C865-D865)</f>
        <v/>
      </c>
      <c r="F865" s="18">
        <f>IF(OR(B865="",C865=""),"",E865-B865)</f>
        <v/>
      </c>
      <c r="G865" s="20">
        <f>IF(OR(B865="",B865=0),"",F865/B865)</f>
        <v/>
      </c>
      <c r="H865" s="9" t="n"/>
    </row>
    <row r="866" ht="19.5" customHeight="1" s="49">
      <c r="A866" s="10" t="n"/>
      <c r="B866" s="25" t="n"/>
      <c r="C866" s="30" t="n"/>
      <c r="D866" s="11">
        <f>IF(C866="","",C866*$B$1)</f>
        <v/>
      </c>
      <c r="E866" s="12">
        <f>IF(C866="","",C866-D866)</f>
        <v/>
      </c>
      <c r="F866" s="19">
        <f>IF(OR(B866="",C866=""),"",E866-B866)</f>
        <v/>
      </c>
      <c r="G866" s="21">
        <f>IF(OR(B866="",B866=0),"",F866/B866)</f>
        <v/>
      </c>
      <c r="H866" s="13" t="n"/>
    </row>
    <row r="867" ht="19.5" customHeight="1" s="49">
      <c r="A867" s="6" t="n"/>
      <c r="B867" s="24" t="n"/>
      <c r="C867" s="29" t="n"/>
      <c r="D867" s="7">
        <f>IF(C867="","",C867*$B$1)</f>
        <v/>
      </c>
      <c r="E867" s="8">
        <f>IF(C867="","",C867-D867)</f>
        <v/>
      </c>
      <c r="F867" s="18">
        <f>IF(OR(B867="",C867=""),"",E867-B867)</f>
        <v/>
      </c>
      <c r="G867" s="20">
        <f>IF(OR(B867="",B867=0),"",F867/B867)</f>
        <v/>
      </c>
      <c r="H867" s="9" t="n"/>
    </row>
    <row r="868" ht="19.5" customHeight="1" s="49">
      <c r="A868" s="10" t="n"/>
      <c r="B868" s="25" t="n"/>
      <c r="C868" s="30" t="n"/>
      <c r="D868" s="11">
        <f>IF(C868="","",C868*$B$1)</f>
        <v/>
      </c>
      <c r="E868" s="12">
        <f>IF(C868="","",C868-D868)</f>
        <v/>
      </c>
      <c r="F868" s="19">
        <f>IF(OR(B868="",C868=""),"",E868-B868)</f>
        <v/>
      </c>
      <c r="G868" s="21">
        <f>IF(OR(B868="",B868=0),"",F868/B868)</f>
        <v/>
      </c>
      <c r="H868" s="13" t="n"/>
    </row>
    <row r="869" ht="19.5" customHeight="1" s="49">
      <c r="A869" s="6" t="n"/>
      <c r="B869" s="24" t="n"/>
      <c r="C869" s="29" t="n"/>
      <c r="D869" s="7">
        <f>IF(C869="","",C869*$B$1)</f>
        <v/>
      </c>
      <c r="E869" s="8">
        <f>IF(C869="","",C869-D869)</f>
        <v/>
      </c>
      <c r="F869" s="18">
        <f>IF(OR(B869="",C869=""),"",E869-B869)</f>
        <v/>
      </c>
      <c r="G869" s="20">
        <f>IF(OR(B869="",B869=0),"",F869/B869)</f>
        <v/>
      </c>
      <c r="H869" s="9" t="n"/>
    </row>
    <row r="870" ht="19.5" customHeight="1" s="49">
      <c r="A870" s="10" t="n"/>
      <c r="B870" s="25" t="n"/>
      <c r="C870" s="30" t="n"/>
      <c r="D870" s="11">
        <f>IF(C870="","",C870*$B$1)</f>
        <v/>
      </c>
      <c r="E870" s="12">
        <f>IF(C870="","",C870-D870)</f>
        <v/>
      </c>
      <c r="F870" s="19">
        <f>IF(OR(B870="",C870=""),"",E870-B870)</f>
        <v/>
      </c>
      <c r="G870" s="21">
        <f>IF(OR(B870="",B870=0),"",F870/B870)</f>
        <v/>
      </c>
      <c r="H870" s="13" t="n"/>
    </row>
    <row r="871" ht="19.5" customHeight="1" s="49">
      <c r="A871" s="6" t="n"/>
      <c r="B871" s="24" t="n"/>
      <c r="C871" s="29" t="n"/>
      <c r="D871" s="7">
        <f>IF(C871="","",C871*$B$1)</f>
        <v/>
      </c>
      <c r="E871" s="8">
        <f>IF(C871="","",C871-D871)</f>
        <v/>
      </c>
      <c r="F871" s="18">
        <f>IF(OR(B871="",C871=""),"",E871-B871)</f>
        <v/>
      </c>
      <c r="G871" s="20">
        <f>IF(OR(B871="",B871=0),"",F871/B871)</f>
        <v/>
      </c>
      <c r="H871" s="9" t="n"/>
    </row>
    <row r="872" ht="19.5" customHeight="1" s="49">
      <c r="A872" s="10" t="n"/>
      <c r="B872" s="25" t="n"/>
      <c r="C872" s="30" t="n"/>
      <c r="D872" s="11">
        <f>IF(C872="","",C872*$B$1)</f>
        <v/>
      </c>
      <c r="E872" s="12">
        <f>IF(C872="","",C872-D872)</f>
        <v/>
      </c>
      <c r="F872" s="19">
        <f>IF(OR(B872="",C872=""),"",E872-B872)</f>
        <v/>
      </c>
      <c r="G872" s="21">
        <f>IF(OR(B872="",B872=0),"",F872/B872)</f>
        <v/>
      </c>
      <c r="H872" s="13" t="n"/>
    </row>
    <row r="873" ht="19.5" customHeight="1" s="49">
      <c r="A873" s="6" t="n"/>
      <c r="B873" s="24" t="n"/>
      <c r="C873" s="29" t="n"/>
      <c r="D873" s="7">
        <f>IF(C873="","",C873*$B$1)</f>
        <v/>
      </c>
      <c r="E873" s="8">
        <f>IF(C873="","",C873-D873)</f>
        <v/>
      </c>
      <c r="F873" s="18">
        <f>IF(OR(B873="",C873=""),"",E873-B873)</f>
        <v/>
      </c>
      <c r="G873" s="20">
        <f>IF(OR(B873="",B873=0),"",F873/B873)</f>
        <v/>
      </c>
      <c r="H873" s="9" t="n"/>
    </row>
    <row r="874" ht="19.5" customHeight="1" s="49">
      <c r="A874" s="10" t="n"/>
      <c r="B874" s="25" t="n"/>
      <c r="C874" s="30" t="n"/>
      <c r="D874" s="11">
        <f>IF(C874="","",C874*$B$1)</f>
        <v/>
      </c>
      <c r="E874" s="12">
        <f>IF(C874="","",C874-D874)</f>
        <v/>
      </c>
      <c r="F874" s="19">
        <f>IF(OR(B874="",C874=""),"",E874-B874)</f>
        <v/>
      </c>
      <c r="G874" s="21">
        <f>IF(OR(B874="",B874=0),"",F874/B874)</f>
        <v/>
      </c>
      <c r="H874" s="13" t="n"/>
    </row>
    <row r="875" ht="19.5" customHeight="1" s="49">
      <c r="A875" s="6" t="n"/>
      <c r="B875" s="24" t="n"/>
      <c r="C875" s="29" t="n"/>
      <c r="D875" s="7">
        <f>IF(C875="","",C875*$B$1)</f>
        <v/>
      </c>
      <c r="E875" s="8">
        <f>IF(C875="","",C875-D875)</f>
        <v/>
      </c>
      <c r="F875" s="18">
        <f>IF(OR(B875="",C875=""),"",E875-B875)</f>
        <v/>
      </c>
      <c r="G875" s="20">
        <f>IF(OR(B875="",B875=0),"",F875/B875)</f>
        <v/>
      </c>
      <c r="H875" s="9" t="n"/>
    </row>
    <row r="876" ht="19.5" customHeight="1" s="49">
      <c r="A876" s="10" t="n"/>
      <c r="B876" s="25" t="n"/>
      <c r="C876" s="30" t="n"/>
      <c r="D876" s="11">
        <f>IF(C876="","",C876*$B$1)</f>
        <v/>
      </c>
      <c r="E876" s="12">
        <f>IF(C876="","",C876-D876)</f>
        <v/>
      </c>
      <c r="F876" s="19">
        <f>IF(OR(B876="",C876=""),"",E876-B876)</f>
        <v/>
      </c>
      <c r="G876" s="21">
        <f>IF(OR(B876="",B876=0),"",F876/B876)</f>
        <v/>
      </c>
      <c r="H876" s="13" t="n"/>
    </row>
    <row r="877" ht="19.5" customHeight="1" s="49">
      <c r="A877" s="6" t="n"/>
      <c r="B877" s="24" t="n"/>
      <c r="C877" s="29" t="n"/>
      <c r="D877" s="7">
        <f>IF(C877="","",C877*$B$1)</f>
        <v/>
      </c>
      <c r="E877" s="8">
        <f>IF(C877="","",C877-D877)</f>
        <v/>
      </c>
      <c r="F877" s="18">
        <f>IF(OR(B877="",C877=""),"",E877-B877)</f>
        <v/>
      </c>
      <c r="G877" s="20">
        <f>IF(OR(B877="",B877=0),"",F877/B877)</f>
        <v/>
      </c>
      <c r="H877" s="9" t="n"/>
    </row>
    <row r="878" ht="19.5" customHeight="1" s="49">
      <c r="A878" s="10" t="n"/>
      <c r="B878" s="25" t="n"/>
      <c r="C878" s="30" t="n"/>
      <c r="D878" s="11">
        <f>IF(C878="","",C878*$B$1)</f>
        <v/>
      </c>
      <c r="E878" s="12">
        <f>IF(C878="","",C878-D878)</f>
        <v/>
      </c>
      <c r="F878" s="19">
        <f>IF(OR(B878="",C878=""),"",E878-B878)</f>
        <v/>
      </c>
      <c r="G878" s="21">
        <f>IF(OR(B878="",B878=0),"",F878/B878)</f>
        <v/>
      </c>
      <c r="H878" s="13" t="n"/>
    </row>
    <row r="879" ht="19.5" customHeight="1" s="49">
      <c r="A879" s="6" t="n"/>
      <c r="B879" s="24" t="n"/>
      <c r="C879" s="29" t="n"/>
      <c r="D879" s="7">
        <f>IF(C879="","",C879*$B$1)</f>
        <v/>
      </c>
      <c r="E879" s="8">
        <f>IF(C879="","",C879-D879)</f>
        <v/>
      </c>
      <c r="F879" s="18">
        <f>IF(OR(B879="",C879=""),"",E879-B879)</f>
        <v/>
      </c>
      <c r="G879" s="20">
        <f>IF(OR(B879="",B879=0),"",F879/B879)</f>
        <v/>
      </c>
      <c r="H879" s="9" t="n"/>
    </row>
    <row r="880" ht="19.5" customHeight="1" s="49">
      <c r="A880" s="10" t="n"/>
      <c r="B880" s="25" t="n"/>
      <c r="C880" s="30" t="n"/>
      <c r="D880" s="11">
        <f>IF(C880="","",C880*$B$1)</f>
        <v/>
      </c>
      <c r="E880" s="12">
        <f>IF(C880="","",C880-D880)</f>
        <v/>
      </c>
      <c r="F880" s="19">
        <f>IF(OR(B880="",C880=""),"",E880-B880)</f>
        <v/>
      </c>
      <c r="G880" s="21">
        <f>IF(OR(B880="",B880=0),"",F880/B880)</f>
        <v/>
      </c>
      <c r="H880" s="13" t="n"/>
    </row>
    <row r="881" ht="19.5" customHeight="1" s="49">
      <c r="A881" s="6" t="n"/>
      <c r="B881" s="24" t="n"/>
      <c r="C881" s="29" t="n"/>
      <c r="D881" s="7">
        <f>IF(C881="","",C881*$B$1)</f>
        <v/>
      </c>
      <c r="E881" s="8">
        <f>IF(C881="","",C881-D881)</f>
        <v/>
      </c>
      <c r="F881" s="18">
        <f>IF(OR(B881="",C881=""),"",E881-B881)</f>
        <v/>
      </c>
      <c r="G881" s="20">
        <f>IF(OR(B881="",B881=0),"",F881/B881)</f>
        <v/>
      </c>
      <c r="H881" s="9" t="n"/>
    </row>
    <row r="882" ht="19.5" customHeight="1" s="49">
      <c r="A882" s="10" t="n"/>
      <c r="B882" s="25" t="n"/>
      <c r="C882" s="30" t="n"/>
      <c r="D882" s="11">
        <f>IF(C882="","",C882*$B$1)</f>
        <v/>
      </c>
      <c r="E882" s="12">
        <f>IF(C882="","",C882-D882)</f>
        <v/>
      </c>
      <c r="F882" s="19">
        <f>IF(OR(B882="",C882=""),"",E882-B882)</f>
        <v/>
      </c>
      <c r="G882" s="21">
        <f>IF(OR(B882="",B882=0),"",F882/B882)</f>
        <v/>
      </c>
      <c r="H882" s="13" t="n"/>
    </row>
    <row r="883" ht="19.5" customHeight="1" s="49">
      <c r="A883" s="6" t="n"/>
      <c r="B883" s="24" t="n"/>
      <c r="C883" s="29" t="n"/>
      <c r="D883" s="7">
        <f>IF(C883="","",C883*$B$1)</f>
        <v/>
      </c>
      <c r="E883" s="8">
        <f>IF(C883="","",C883-D883)</f>
        <v/>
      </c>
      <c r="F883" s="18">
        <f>IF(OR(B883="",C883=""),"",E883-B883)</f>
        <v/>
      </c>
      <c r="G883" s="20">
        <f>IF(OR(B883="",B883=0),"",F883/B883)</f>
        <v/>
      </c>
      <c r="H883" s="9" t="n"/>
    </row>
    <row r="884" ht="19.5" customHeight="1" s="49">
      <c r="A884" s="10" t="n"/>
      <c r="B884" s="25" t="n"/>
      <c r="C884" s="30" t="n"/>
      <c r="D884" s="11">
        <f>IF(C884="","",C884*$B$1)</f>
        <v/>
      </c>
      <c r="E884" s="12">
        <f>IF(C884="","",C884-D884)</f>
        <v/>
      </c>
      <c r="F884" s="19">
        <f>IF(OR(B884="",C884=""),"",E884-B884)</f>
        <v/>
      </c>
      <c r="G884" s="21">
        <f>IF(OR(B884="",B884=0),"",F884/B884)</f>
        <v/>
      </c>
      <c r="H884" s="13" t="n"/>
    </row>
    <row r="885" ht="19.5" customHeight="1" s="49">
      <c r="A885" s="6" t="n"/>
      <c r="B885" s="24" t="n"/>
      <c r="C885" s="29" t="n"/>
      <c r="D885" s="7">
        <f>IF(C885="","",C885*$B$1)</f>
        <v/>
      </c>
      <c r="E885" s="8">
        <f>IF(C885="","",C885-D885)</f>
        <v/>
      </c>
      <c r="F885" s="18">
        <f>IF(OR(B885="",C885=""),"",E885-B885)</f>
        <v/>
      </c>
      <c r="G885" s="20">
        <f>IF(OR(B885="",B885=0),"",F885/B885)</f>
        <v/>
      </c>
      <c r="H885" s="9" t="n"/>
    </row>
    <row r="886" ht="19.5" customHeight="1" s="49">
      <c r="A886" s="10" t="n"/>
      <c r="B886" s="25" t="n"/>
      <c r="C886" s="30" t="n"/>
      <c r="D886" s="11">
        <f>IF(C886="","",C886*$B$1)</f>
        <v/>
      </c>
      <c r="E886" s="12">
        <f>IF(C886="","",C886-D886)</f>
        <v/>
      </c>
      <c r="F886" s="19">
        <f>IF(OR(B886="",C886=""),"",E886-B886)</f>
        <v/>
      </c>
      <c r="G886" s="21">
        <f>IF(OR(B886="",B886=0),"",F886/B886)</f>
        <v/>
      </c>
      <c r="H886" s="13" t="n"/>
    </row>
    <row r="887" ht="19.5" customHeight="1" s="49">
      <c r="A887" s="6" t="n"/>
      <c r="B887" s="24" t="n"/>
      <c r="C887" s="29" t="n"/>
      <c r="D887" s="7">
        <f>IF(C887="","",C887*$B$1)</f>
        <v/>
      </c>
      <c r="E887" s="8">
        <f>IF(C887="","",C887-D887)</f>
        <v/>
      </c>
      <c r="F887" s="18">
        <f>IF(OR(B887="",C887=""),"",E887-B887)</f>
        <v/>
      </c>
      <c r="G887" s="20">
        <f>IF(OR(B887="",B887=0),"",F887/B887)</f>
        <v/>
      </c>
      <c r="H887" s="9" t="n"/>
    </row>
    <row r="888" ht="19.5" customHeight="1" s="49">
      <c r="A888" s="10" t="n"/>
      <c r="B888" s="25" t="n"/>
      <c r="C888" s="30" t="n"/>
      <c r="D888" s="11">
        <f>IF(C888="","",C888*$B$1)</f>
        <v/>
      </c>
      <c r="E888" s="12">
        <f>IF(C888="","",C888-D888)</f>
        <v/>
      </c>
      <c r="F888" s="19">
        <f>IF(OR(B888="",C888=""),"",E888-B888)</f>
        <v/>
      </c>
      <c r="G888" s="21">
        <f>IF(OR(B888="",B888=0),"",F888/B888)</f>
        <v/>
      </c>
      <c r="H888" s="13" t="n"/>
    </row>
    <row r="889" ht="19.5" customHeight="1" s="49">
      <c r="A889" s="6" t="n"/>
      <c r="B889" s="24" t="n"/>
      <c r="C889" s="29" t="n"/>
      <c r="D889" s="7">
        <f>IF(C889="","",C889*$B$1)</f>
        <v/>
      </c>
      <c r="E889" s="8">
        <f>IF(C889="","",C889-D889)</f>
        <v/>
      </c>
      <c r="F889" s="18">
        <f>IF(OR(B889="",C889=""),"",E889-B889)</f>
        <v/>
      </c>
      <c r="G889" s="20">
        <f>IF(OR(B889="",B889=0),"",F889/B889)</f>
        <v/>
      </c>
      <c r="H889" s="9" t="n"/>
    </row>
    <row r="890" ht="19.5" customHeight="1" s="49">
      <c r="A890" s="10" t="n"/>
      <c r="B890" s="25" t="n"/>
      <c r="C890" s="30" t="n"/>
      <c r="D890" s="11">
        <f>IF(C890="","",C890*$B$1)</f>
        <v/>
      </c>
      <c r="E890" s="12">
        <f>IF(C890="","",C890-D890)</f>
        <v/>
      </c>
      <c r="F890" s="19">
        <f>IF(OR(B890="",C890=""),"",E890-B890)</f>
        <v/>
      </c>
      <c r="G890" s="21">
        <f>IF(OR(B890="",B890=0),"",F890/B890)</f>
        <v/>
      </c>
      <c r="H890" s="13" t="n"/>
    </row>
    <row r="891" ht="19.5" customHeight="1" s="49">
      <c r="A891" s="6" t="n"/>
      <c r="B891" s="24" t="n"/>
      <c r="C891" s="29" t="n"/>
      <c r="D891" s="7">
        <f>IF(C891="","",C891*$B$1)</f>
        <v/>
      </c>
      <c r="E891" s="8">
        <f>IF(C891="","",C891-D891)</f>
        <v/>
      </c>
      <c r="F891" s="18">
        <f>IF(OR(B891="",C891=""),"",E891-B891)</f>
        <v/>
      </c>
      <c r="G891" s="20">
        <f>IF(OR(B891="",B891=0),"",F891/B891)</f>
        <v/>
      </c>
      <c r="H891" s="9" t="n"/>
    </row>
    <row r="892" ht="19.5" customHeight="1" s="49">
      <c r="A892" s="10" t="n"/>
      <c r="B892" s="25" t="n"/>
      <c r="C892" s="30" t="n"/>
      <c r="D892" s="11">
        <f>IF(C892="","",C892*$B$1)</f>
        <v/>
      </c>
      <c r="E892" s="12">
        <f>IF(C892="","",C892-D892)</f>
        <v/>
      </c>
      <c r="F892" s="19">
        <f>IF(OR(B892="",C892=""),"",E892-B892)</f>
        <v/>
      </c>
      <c r="G892" s="21">
        <f>IF(OR(B892="",B892=0),"",F892/B892)</f>
        <v/>
      </c>
      <c r="H892" s="13" t="n"/>
    </row>
    <row r="893" ht="19.5" customHeight="1" s="49">
      <c r="A893" s="6" t="n"/>
      <c r="B893" s="24" t="n"/>
      <c r="C893" s="29" t="n"/>
      <c r="D893" s="7">
        <f>IF(C893="","",C893*$B$1)</f>
        <v/>
      </c>
      <c r="E893" s="8">
        <f>IF(C893="","",C893-D893)</f>
        <v/>
      </c>
      <c r="F893" s="18">
        <f>IF(OR(B893="",C893=""),"",E893-B893)</f>
        <v/>
      </c>
      <c r="G893" s="20">
        <f>IF(OR(B893="",B893=0),"",F893/B893)</f>
        <v/>
      </c>
      <c r="H893" s="9" t="n"/>
    </row>
    <row r="894" ht="19.5" customHeight="1" s="49">
      <c r="A894" s="10" t="n"/>
      <c r="B894" s="25" t="n"/>
      <c r="C894" s="30" t="n"/>
      <c r="D894" s="11">
        <f>IF(C894="","",C894*$B$1)</f>
        <v/>
      </c>
      <c r="E894" s="12">
        <f>IF(C894="","",C894-D894)</f>
        <v/>
      </c>
      <c r="F894" s="19">
        <f>IF(OR(B894="",C894=""),"",E894-B894)</f>
        <v/>
      </c>
      <c r="G894" s="21">
        <f>IF(OR(B894="",B894=0),"",F894/B894)</f>
        <v/>
      </c>
      <c r="H894" s="13" t="n"/>
    </row>
    <row r="895" ht="19.5" customHeight="1" s="49">
      <c r="A895" s="6" t="n"/>
      <c r="B895" s="24" t="n"/>
      <c r="C895" s="29" t="n"/>
      <c r="D895" s="7">
        <f>IF(C895="","",C895*$B$1)</f>
        <v/>
      </c>
      <c r="E895" s="8">
        <f>IF(C895="","",C895-D895)</f>
        <v/>
      </c>
      <c r="F895" s="18">
        <f>IF(OR(B895="",C895=""),"",E895-B895)</f>
        <v/>
      </c>
      <c r="G895" s="20">
        <f>IF(OR(B895="",B895=0),"",F895/B895)</f>
        <v/>
      </c>
      <c r="H895" s="9" t="n"/>
    </row>
    <row r="896" ht="19.5" customHeight="1" s="49">
      <c r="A896" s="10" t="n"/>
      <c r="B896" s="25" t="n"/>
      <c r="C896" s="30" t="n"/>
      <c r="D896" s="11">
        <f>IF(C896="","",C896*$B$1)</f>
        <v/>
      </c>
      <c r="E896" s="12">
        <f>IF(C896="","",C896-D896)</f>
        <v/>
      </c>
      <c r="F896" s="19">
        <f>IF(OR(B896="",C896=""),"",E896-B896)</f>
        <v/>
      </c>
      <c r="G896" s="21">
        <f>IF(OR(B896="",B896=0),"",F896/B896)</f>
        <v/>
      </c>
      <c r="H896" s="13" t="n"/>
    </row>
    <row r="897" ht="19.5" customHeight="1" s="49">
      <c r="A897" s="6" t="n"/>
      <c r="B897" s="24" t="n"/>
      <c r="C897" s="29" t="n"/>
      <c r="D897" s="7">
        <f>IF(C897="","",C897*$B$1)</f>
        <v/>
      </c>
      <c r="E897" s="8">
        <f>IF(C897="","",C897-D897)</f>
        <v/>
      </c>
      <c r="F897" s="18">
        <f>IF(OR(B897="",C897=""),"",E897-B897)</f>
        <v/>
      </c>
      <c r="G897" s="20">
        <f>IF(OR(B897="",B897=0),"",F897/B897)</f>
        <v/>
      </c>
      <c r="H897" s="9" t="n"/>
    </row>
    <row r="898" ht="19.5" customHeight="1" s="49">
      <c r="A898" s="10" t="n"/>
      <c r="B898" s="25" t="n"/>
      <c r="C898" s="30" t="n"/>
      <c r="D898" s="11">
        <f>IF(C898="","",C898*$B$1)</f>
        <v/>
      </c>
      <c r="E898" s="12">
        <f>IF(C898="","",C898-D898)</f>
        <v/>
      </c>
      <c r="F898" s="19">
        <f>IF(OR(B898="",C898=""),"",E898-B898)</f>
        <v/>
      </c>
      <c r="G898" s="21">
        <f>IF(OR(B898="",B898=0),"",F898/B898)</f>
        <v/>
      </c>
      <c r="H898" s="13" t="n"/>
    </row>
    <row r="899" ht="19.5" customHeight="1" s="49">
      <c r="A899" s="6" t="n"/>
      <c r="B899" s="24" t="n"/>
      <c r="C899" s="29" t="n"/>
      <c r="D899" s="7">
        <f>IF(C899="","",C899*$B$1)</f>
        <v/>
      </c>
      <c r="E899" s="8">
        <f>IF(C899="","",C899-D899)</f>
        <v/>
      </c>
      <c r="F899" s="18">
        <f>IF(OR(B899="",C899=""),"",E899-B899)</f>
        <v/>
      </c>
      <c r="G899" s="20">
        <f>IF(OR(B899="",B899=0),"",F899/B899)</f>
        <v/>
      </c>
      <c r="H899" s="9" t="n"/>
    </row>
    <row r="900" ht="19.5" customHeight="1" s="49">
      <c r="A900" s="10" t="n"/>
      <c r="B900" s="25" t="n"/>
      <c r="C900" s="30" t="n"/>
      <c r="D900" s="11">
        <f>IF(C900="","",C900*$B$1)</f>
        <v/>
      </c>
      <c r="E900" s="12">
        <f>IF(C900="","",C900-D900)</f>
        <v/>
      </c>
      <c r="F900" s="19">
        <f>IF(OR(B900="",C900=""),"",E900-B900)</f>
        <v/>
      </c>
      <c r="G900" s="21">
        <f>IF(OR(B900="",B900=0),"",F900/B900)</f>
        <v/>
      </c>
      <c r="H900" s="13" t="n"/>
    </row>
    <row r="901" ht="19.5" customHeight="1" s="49">
      <c r="A901" s="6" t="n"/>
      <c r="B901" s="24" t="n"/>
      <c r="C901" s="29" t="n"/>
      <c r="D901" s="7">
        <f>IF(C901="","",C901*$B$1)</f>
        <v/>
      </c>
      <c r="E901" s="8">
        <f>IF(C901="","",C901-D901)</f>
        <v/>
      </c>
      <c r="F901" s="18">
        <f>IF(OR(B901="",C901=""),"",E901-B901)</f>
        <v/>
      </c>
      <c r="G901" s="20">
        <f>IF(OR(B901="",B901=0),"",F901/B901)</f>
        <v/>
      </c>
      <c r="H901" s="9" t="n"/>
    </row>
    <row r="902" ht="19.5" customHeight="1" s="49">
      <c r="A902" s="10" t="n"/>
      <c r="B902" s="25" t="n"/>
      <c r="C902" s="30" t="n"/>
      <c r="D902" s="11">
        <f>IF(C902="","",C902*$B$1)</f>
        <v/>
      </c>
      <c r="E902" s="12">
        <f>IF(C902="","",C902-D902)</f>
        <v/>
      </c>
      <c r="F902" s="19">
        <f>IF(OR(B902="",C902=""),"",E902-B902)</f>
        <v/>
      </c>
      <c r="G902" s="21">
        <f>IF(OR(B902="",B902=0),"",F902/B902)</f>
        <v/>
      </c>
      <c r="H902" s="13" t="n"/>
    </row>
    <row r="903" ht="19.5" customHeight="1" s="49">
      <c r="A903" s="6" t="n"/>
      <c r="B903" s="24" t="n"/>
      <c r="C903" s="29" t="n"/>
      <c r="D903" s="7">
        <f>IF(C903="","",C903*$B$1)</f>
        <v/>
      </c>
      <c r="E903" s="8">
        <f>IF(C903="","",C903-D903)</f>
        <v/>
      </c>
      <c r="F903" s="18">
        <f>IF(OR(B903="",C903=""),"",E903-B903)</f>
        <v/>
      </c>
      <c r="G903" s="20">
        <f>IF(OR(B903="",B903=0),"",F903/B903)</f>
        <v/>
      </c>
      <c r="H903" s="9" t="n"/>
    </row>
    <row r="904" ht="19.5" customHeight="1" s="49">
      <c r="A904" s="10" t="n"/>
      <c r="B904" s="25" t="n"/>
      <c r="C904" s="30" t="n"/>
      <c r="D904" s="11">
        <f>IF(C904="","",C904*$B$1)</f>
        <v/>
      </c>
      <c r="E904" s="12">
        <f>IF(C904="","",C904-D904)</f>
        <v/>
      </c>
      <c r="F904" s="19">
        <f>IF(OR(B904="",C904=""),"",E904-B904)</f>
        <v/>
      </c>
      <c r="G904" s="21">
        <f>IF(OR(B904="",B904=0),"",F904/B904)</f>
        <v/>
      </c>
      <c r="H904" s="13" t="n"/>
    </row>
    <row r="905" ht="19.5" customHeight="1" s="49">
      <c r="A905" s="6" t="n"/>
      <c r="B905" s="24" t="n"/>
      <c r="C905" s="29" t="n"/>
      <c r="D905" s="7">
        <f>IF(C905="","",C905*$B$1)</f>
        <v/>
      </c>
      <c r="E905" s="8">
        <f>IF(C905="","",C905-D905)</f>
        <v/>
      </c>
      <c r="F905" s="18">
        <f>IF(OR(B905="",C905=""),"",E905-B905)</f>
        <v/>
      </c>
      <c r="G905" s="20">
        <f>IF(OR(B905="",B905=0),"",F905/B905)</f>
        <v/>
      </c>
      <c r="H905" s="9" t="n"/>
    </row>
    <row r="906" ht="19.5" customHeight="1" s="49">
      <c r="A906" s="10" t="n"/>
      <c r="B906" s="25" t="n"/>
      <c r="C906" s="30" t="n"/>
      <c r="D906" s="11">
        <f>IF(C906="","",C906*$B$1)</f>
        <v/>
      </c>
      <c r="E906" s="12">
        <f>IF(C906="","",C906-D906)</f>
        <v/>
      </c>
      <c r="F906" s="19">
        <f>IF(OR(B906="",C906=""),"",E906-B906)</f>
        <v/>
      </c>
      <c r="G906" s="21">
        <f>IF(OR(B906="",B906=0),"",F906/B906)</f>
        <v/>
      </c>
      <c r="H906" s="13" t="n"/>
    </row>
    <row r="907" ht="19.5" customHeight="1" s="49">
      <c r="A907" s="6" t="n"/>
      <c r="B907" s="24" t="n"/>
      <c r="C907" s="29" t="n"/>
      <c r="D907" s="7">
        <f>IF(C907="","",C907*$B$1)</f>
        <v/>
      </c>
      <c r="E907" s="8">
        <f>IF(C907="","",C907-D907)</f>
        <v/>
      </c>
      <c r="F907" s="18">
        <f>IF(OR(B907="",C907=""),"",E907-B907)</f>
        <v/>
      </c>
      <c r="G907" s="20">
        <f>IF(OR(B907="",B907=0),"",F907/B907)</f>
        <v/>
      </c>
      <c r="H907" s="9" t="n"/>
    </row>
    <row r="908" ht="19.5" customHeight="1" s="49">
      <c r="A908" s="10" t="n"/>
      <c r="B908" s="25" t="n"/>
      <c r="C908" s="30" t="n"/>
      <c r="D908" s="11">
        <f>IF(C908="","",C908*$B$1)</f>
        <v/>
      </c>
      <c r="E908" s="12">
        <f>IF(C908="","",C908-D908)</f>
        <v/>
      </c>
      <c r="F908" s="19">
        <f>IF(OR(B908="",C908=""),"",E908-B908)</f>
        <v/>
      </c>
      <c r="G908" s="21">
        <f>IF(OR(B908="",B908=0),"",F908/B908)</f>
        <v/>
      </c>
      <c r="H908" s="13" t="n"/>
    </row>
    <row r="909" ht="19.5" customHeight="1" s="49">
      <c r="A909" s="6" t="n"/>
      <c r="B909" s="24" t="n"/>
      <c r="C909" s="29" t="n"/>
      <c r="D909" s="7">
        <f>IF(C909="","",C909*$B$1)</f>
        <v/>
      </c>
      <c r="E909" s="8">
        <f>IF(C909="","",C909-D909)</f>
        <v/>
      </c>
      <c r="F909" s="18">
        <f>IF(OR(B909="",C909=""),"",E909-B909)</f>
        <v/>
      </c>
      <c r="G909" s="20">
        <f>IF(OR(B909="",B909=0),"",F909/B909)</f>
        <v/>
      </c>
      <c r="H909" s="9" t="n"/>
    </row>
    <row r="910" ht="19.5" customHeight="1" s="49">
      <c r="A910" s="10" t="n"/>
      <c r="B910" s="25" t="n"/>
      <c r="C910" s="30" t="n"/>
      <c r="D910" s="11">
        <f>IF(C910="","",C910*$B$1)</f>
        <v/>
      </c>
      <c r="E910" s="12">
        <f>IF(C910="","",C910-D910)</f>
        <v/>
      </c>
      <c r="F910" s="19">
        <f>IF(OR(B910="",C910=""),"",E910-B910)</f>
        <v/>
      </c>
      <c r="G910" s="21">
        <f>IF(OR(B910="",B910=0),"",F910/B910)</f>
        <v/>
      </c>
      <c r="H910" s="13" t="n"/>
    </row>
    <row r="911" ht="19.5" customHeight="1" s="49">
      <c r="A911" s="6" t="n"/>
      <c r="B911" s="24" t="n"/>
      <c r="C911" s="29" t="n"/>
      <c r="D911" s="7">
        <f>IF(C911="","",C911*$B$1)</f>
        <v/>
      </c>
      <c r="E911" s="8">
        <f>IF(C911="","",C911-D911)</f>
        <v/>
      </c>
      <c r="F911" s="18">
        <f>IF(OR(B911="",C911=""),"",E911-B911)</f>
        <v/>
      </c>
      <c r="G911" s="20">
        <f>IF(OR(B911="",B911=0),"",F911/B911)</f>
        <v/>
      </c>
      <c r="H911" s="9" t="n"/>
    </row>
    <row r="912" ht="19.5" customHeight="1" s="49">
      <c r="A912" s="10" t="n"/>
      <c r="B912" s="25" t="n"/>
      <c r="C912" s="30" t="n"/>
      <c r="D912" s="11">
        <f>IF(C912="","",C912*$B$1)</f>
        <v/>
      </c>
      <c r="E912" s="12">
        <f>IF(C912="","",C912-D912)</f>
        <v/>
      </c>
      <c r="F912" s="19">
        <f>IF(OR(B912="",C912=""),"",E912-B912)</f>
        <v/>
      </c>
      <c r="G912" s="21">
        <f>IF(OR(B912="",B912=0),"",F912/B912)</f>
        <v/>
      </c>
      <c r="H912" s="13" t="n"/>
    </row>
    <row r="913" ht="19.5" customHeight="1" s="49">
      <c r="A913" s="6" t="n"/>
      <c r="B913" s="24" t="n"/>
      <c r="C913" s="29" t="n"/>
      <c r="D913" s="7">
        <f>IF(C913="","",C913*$B$1)</f>
        <v/>
      </c>
      <c r="E913" s="8">
        <f>IF(C913="","",C913-D913)</f>
        <v/>
      </c>
      <c r="F913" s="18">
        <f>IF(OR(B913="",C913=""),"",E913-B913)</f>
        <v/>
      </c>
      <c r="G913" s="20">
        <f>IF(OR(B913="",B913=0),"",F913/B913)</f>
        <v/>
      </c>
      <c r="H913" s="9" t="n"/>
    </row>
    <row r="914" ht="19.5" customHeight="1" s="49">
      <c r="A914" s="10" t="n"/>
      <c r="B914" s="25" t="n"/>
      <c r="C914" s="30" t="n"/>
      <c r="D914" s="11">
        <f>IF(C914="","",C914*$B$1)</f>
        <v/>
      </c>
      <c r="E914" s="12">
        <f>IF(C914="","",C914-D914)</f>
        <v/>
      </c>
      <c r="F914" s="19">
        <f>IF(OR(B914="",C914=""),"",E914-B914)</f>
        <v/>
      </c>
      <c r="G914" s="21">
        <f>IF(OR(B914="",B914=0),"",F914/B914)</f>
        <v/>
      </c>
      <c r="H914" s="13" t="n"/>
    </row>
    <row r="915" ht="19.5" customHeight="1" s="49">
      <c r="A915" s="6" t="n"/>
      <c r="B915" s="24" t="n"/>
      <c r="C915" s="29" t="n"/>
      <c r="D915" s="7">
        <f>IF(C915="","",C915*$B$1)</f>
        <v/>
      </c>
      <c r="E915" s="8">
        <f>IF(C915="","",C915-D915)</f>
        <v/>
      </c>
      <c r="F915" s="18">
        <f>IF(OR(B915="",C915=""),"",E915-B915)</f>
        <v/>
      </c>
      <c r="G915" s="20">
        <f>IF(OR(B915="",B915=0),"",F915/B915)</f>
        <v/>
      </c>
      <c r="H915" s="9" t="n"/>
    </row>
    <row r="916" ht="19.5" customHeight="1" s="49">
      <c r="A916" s="10" t="n"/>
      <c r="B916" s="25" t="n"/>
      <c r="C916" s="30" t="n"/>
      <c r="D916" s="11">
        <f>IF(C916="","",C916*$B$1)</f>
        <v/>
      </c>
      <c r="E916" s="12">
        <f>IF(C916="","",C916-D916)</f>
        <v/>
      </c>
      <c r="F916" s="19">
        <f>IF(OR(B916="",C916=""),"",E916-B916)</f>
        <v/>
      </c>
      <c r="G916" s="21">
        <f>IF(OR(B916="",B916=0),"",F916/B916)</f>
        <v/>
      </c>
      <c r="H916" s="13" t="n"/>
    </row>
    <row r="917" ht="19.5" customHeight="1" s="49">
      <c r="A917" s="6" t="n"/>
      <c r="B917" s="24" t="n"/>
      <c r="C917" s="29" t="n"/>
      <c r="D917" s="7">
        <f>IF(C917="","",C917*$B$1)</f>
        <v/>
      </c>
      <c r="E917" s="8">
        <f>IF(C917="","",C917-D917)</f>
        <v/>
      </c>
      <c r="F917" s="18">
        <f>IF(OR(B917="",C917=""),"",E917-B917)</f>
        <v/>
      </c>
      <c r="G917" s="20">
        <f>IF(OR(B917="",B917=0),"",F917/B917)</f>
        <v/>
      </c>
      <c r="H917" s="9" t="n"/>
    </row>
    <row r="918" ht="19.5" customHeight="1" s="49">
      <c r="A918" s="10" t="n"/>
      <c r="B918" s="25" t="n"/>
      <c r="C918" s="30" t="n"/>
      <c r="D918" s="11">
        <f>IF(C918="","",C918*$B$1)</f>
        <v/>
      </c>
      <c r="E918" s="12">
        <f>IF(C918="","",C918-D918)</f>
        <v/>
      </c>
      <c r="F918" s="19">
        <f>IF(OR(B918="",C918=""),"",E918-B918)</f>
        <v/>
      </c>
      <c r="G918" s="21">
        <f>IF(OR(B918="",B918=0),"",F918/B918)</f>
        <v/>
      </c>
      <c r="H918" s="13" t="n"/>
    </row>
    <row r="919" ht="19.5" customHeight="1" s="49">
      <c r="A919" s="6" t="n"/>
      <c r="B919" s="24" t="n"/>
      <c r="C919" s="29" t="n"/>
      <c r="D919" s="7">
        <f>IF(C919="","",C919*$B$1)</f>
        <v/>
      </c>
      <c r="E919" s="8">
        <f>IF(C919="","",C919-D919)</f>
        <v/>
      </c>
      <c r="F919" s="18">
        <f>IF(OR(B919="",C919=""),"",E919-B919)</f>
        <v/>
      </c>
      <c r="G919" s="20">
        <f>IF(OR(B919="",B919=0),"",F919/B919)</f>
        <v/>
      </c>
      <c r="H919" s="9" t="n"/>
    </row>
    <row r="920" ht="19.5" customHeight="1" s="49">
      <c r="A920" s="10" t="n"/>
      <c r="B920" s="25" t="n"/>
      <c r="C920" s="30" t="n"/>
      <c r="D920" s="11">
        <f>IF(C920="","",C920*$B$1)</f>
        <v/>
      </c>
      <c r="E920" s="12">
        <f>IF(C920="","",C920-D920)</f>
        <v/>
      </c>
      <c r="F920" s="19">
        <f>IF(OR(B920="",C920=""),"",E920-B920)</f>
        <v/>
      </c>
      <c r="G920" s="21">
        <f>IF(OR(B920="",B920=0),"",F920/B920)</f>
        <v/>
      </c>
      <c r="H920" s="13" t="n"/>
    </row>
    <row r="921" ht="19.5" customHeight="1" s="49">
      <c r="A921" s="6" t="n"/>
      <c r="B921" s="24" t="n"/>
      <c r="C921" s="29" t="n"/>
      <c r="D921" s="7">
        <f>IF(C921="","",C921*$B$1)</f>
        <v/>
      </c>
      <c r="E921" s="8">
        <f>IF(C921="","",C921-D921)</f>
        <v/>
      </c>
      <c r="F921" s="18">
        <f>IF(OR(B921="",C921=""),"",E921-B921)</f>
        <v/>
      </c>
      <c r="G921" s="20">
        <f>IF(OR(B921="",B921=0),"",F921/B921)</f>
        <v/>
      </c>
      <c r="H921" s="9" t="n"/>
    </row>
    <row r="922" ht="19.5" customHeight="1" s="49">
      <c r="A922" s="10" t="n"/>
      <c r="B922" s="25" t="n"/>
      <c r="C922" s="30" t="n"/>
      <c r="D922" s="11">
        <f>IF(C922="","",C922*$B$1)</f>
        <v/>
      </c>
      <c r="E922" s="12">
        <f>IF(C922="","",C922-D922)</f>
        <v/>
      </c>
      <c r="F922" s="19">
        <f>IF(OR(B922="",C922=""),"",E922-B922)</f>
        <v/>
      </c>
      <c r="G922" s="21">
        <f>IF(OR(B922="",B922=0),"",F922/B922)</f>
        <v/>
      </c>
      <c r="H922" s="13" t="n"/>
    </row>
    <row r="923" ht="19.5" customHeight="1" s="49">
      <c r="A923" s="6" t="n"/>
      <c r="B923" s="24" t="n"/>
      <c r="C923" s="29" t="n"/>
      <c r="D923" s="7">
        <f>IF(C923="","",C923*$B$1)</f>
        <v/>
      </c>
      <c r="E923" s="8">
        <f>IF(C923="","",C923-D923)</f>
        <v/>
      </c>
      <c r="F923" s="18">
        <f>IF(OR(B923="",C923=""),"",E923-B923)</f>
        <v/>
      </c>
      <c r="G923" s="20">
        <f>IF(OR(B923="",B923=0),"",F923/B923)</f>
        <v/>
      </c>
      <c r="H923" s="9" t="n"/>
    </row>
    <row r="924" ht="19.5" customHeight="1" s="49">
      <c r="A924" s="10" t="n"/>
      <c r="B924" s="25" t="n"/>
      <c r="C924" s="30" t="n"/>
      <c r="D924" s="11">
        <f>IF(C924="","",C924*$B$1)</f>
        <v/>
      </c>
      <c r="E924" s="12">
        <f>IF(C924="","",C924-D924)</f>
        <v/>
      </c>
      <c r="F924" s="19">
        <f>IF(OR(B924="",C924=""),"",E924-B924)</f>
        <v/>
      </c>
      <c r="G924" s="21">
        <f>IF(OR(B924="",B924=0),"",F924/B924)</f>
        <v/>
      </c>
      <c r="H924" s="13" t="n"/>
    </row>
    <row r="925" ht="19.5" customHeight="1" s="49">
      <c r="A925" s="6" t="n"/>
      <c r="B925" s="24" t="n"/>
      <c r="C925" s="29" t="n"/>
      <c r="D925" s="7">
        <f>IF(C925="","",C925*$B$1)</f>
        <v/>
      </c>
      <c r="E925" s="8">
        <f>IF(C925="","",C925-D925)</f>
        <v/>
      </c>
      <c r="F925" s="18">
        <f>IF(OR(B925="",C925=""),"",E925-B925)</f>
        <v/>
      </c>
      <c r="G925" s="20">
        <f>IF(OR(B925="",B925=0),"",F925/B925)</f>
        <v/>
      </c>
      <c r="H925" s="9" t="n"/>
    </row>
    <row r="926" ht="19.5" customHeight="1" s="49">
      <c r="A926" s="10" t="n"/>
      <c r="B926" s="25" t="n"/>
      <c r="C926" s="30" t="n"/>
      <c r="D926" s="11">
        <f>IF(C926="","",C926*$B$1)</f>
        <v/>
      </c>
      <c r="E926" s="12">
        <f>IF(C926="","",C926-D926)</f>
        <v/>
      </c>
      <c r="F926" s="19">
        <f>IF(OR(B926="",C926=""),"",E926-B926)</f>
        <v/>
      </c>
      <c r="G926" s="21">
        <f>IF(OR(B926="",B926=0),"",F926/B926)</f>
        <v/>
      </c>
      <c r="H926" s="13" t="n"/>
    </row>
    <row r="927" ht="19.5" customHeight="1" s="49">
      <c r="A927" s="6" t="n"/>
      <c r="B927" s="24" t="n"/>
      <c r="C927" s="29" t="n"/>
      <c r="D927" s="7">
        <f>IF(C927="","",C927*$B$1)</f>
        <v/>
      </c>
      <c r="E927" s="8">
        <f>IF(C927="","",C927-D927)</f>
        <v/>
      </c>
      <c r="F927" s="18">
        <f>IF(OR(B927="",C927=""),"",E927-B927)</f>
        <v/>
      </c>
      <c r="G927" s="20">
        <f>IF(OR(B927="",B927=0),"",F927/B927)</f>
        <v/>
      </c>
      <c r="H927" s="9" t="n"/>
    </row>
    <row r="928" ht="19.5" customHeight="1" s="49">
      <c r="A928" s="10" t="n"/>
      <c r="B928" s="25" t="n"/>
      <c r="C928" s="30" t="n"/>
      <c r="D928" s="11">
        <f>IF(C928="","",C928*$B$1)</f>
        <v/>
      </c>
      <c r="E928" s="12">
        <f>IF(C928="","",C928-D928)</f>
        <v/>
      </c>
      <c r="F928" s="19">
        <f>IF(OR(B928="",C928=""),"",E928-B928)</f>
        <v/>
      </c>
      <c r="G928" s="21">
        <f>IF(OR(B928="",B928=0),"",F928/B928)</f>
        <v/>
      </c>
      <c r="H928" s="13" t="n"/>
    </row>
    <row r="929" ht="19.5" customHeight="1" s="49">
      <c r="A929" s="6" t="n"/>
      <c r="B929" s="24" t="n"/>
      <c r="C929" s="29" t="n"/>
      <c r="D929" s="7">
        <f>IF(C929="","",C929*$B$1)</f>
        <v/>
      </c>
      <c r="E929" s="8">
        <f>IF(C929="","",C929-D929)</f>
        <v/>
      </c>
      <c r="F929" s="18">
        <f>IF(OR(B929="",C929=""),"",E929-B929)</f>
        <v/>
      </c>
      <c r="G929" s="20">
        <f>IF(OR(B929="",B929=0),"",F929/B929)</f>
        <v/>
      </c>
      <c r="H929" s="9" t="n"/>
    </row>
    <row r="930" ht="19.5" customHeight="1" s="49">
      <c r="A930" s="10" t="n"/>
      <c r="B930" s="25" t="n"/>
      <c r="C930" s="30" t="n"/>
      <c r="D930" s="11">
        <f>IF(C930="","",C930*$B$1)</f>
        <v/>
      </c>
      <c r="E930" s="12">
        <f>IF(C930="","",C930-D930)</f>
        <v/>
      </c>
      <c r="F930" s="19">
        <f>IF(OR(B930="",C930=""),"",E930-B930)</f>
        <v/>
      </c>
      <c r="G930" s="21">
        <f>IF(OR(B930="",B930=0),"",F930/B930)</f>
        <v/>
      </c>
      <c r="H930" s="13" t="n"/>
    </row>
    <row r="931" ht="19.5" customHeight="1" s="49">
      <c r="A931" s="6" t="n"/>
      <c r="B931" s="24" t="n"/>
      <c r="C931" s="29" t="n"/>
      <c r="D931" s="7">
        <f>IF(C931="","",C931*$B$1)</f>
        <v/>
      </c>
      <c r="E931" s="8">
        <f>IF(C931="","",C931-D931)</f>
        <v/>
      </c>
      <c r="F931" s="18">
        <f>IF(OR(B931="",C931=""),"",E931-B931)</f>
        <v/>
      </c>
      <c r="G931" s="20">
        <f>IF(OR(B931="",B931=0),"",F931/B931)</f>
        <v/>
      </c>
      <c r="H931" s="9" t="n"/>
    </row>
    <row r="932" ht="19.5" customHeight="1" s="49">
      <c r="A932" s="10" t="n"/>
      <c r="B932" s="25" t="n"/>
      <c r="C932" s="30" t="n"/>
      <c r="D932" s="11">
        <f>IF(C932="","",C932*$B$1)</f>
        <v/>
      </c>
      <c r="E932" s="12">
        <f>IF(C932="","",C932-D932)</f>
        <v/>
      </c>
      <c r="F932" s="19">
        <f>IF(OR(B932="",C932=""),"",E932-B932)</f>
        <v/>
      </c>
      <c r="G932" s="21">
        <f>IF(OR(B932="",B932=0),"",F932/B932)</f>
        <v/>
      </c>
      <c r="H932" s="13" t="n"/>
    </row>
    <row r="933" ht="19.5" customHeight="1" s="49">
      <c r="A933" s="6" t="n"/>
      <c r="B933" s="24" t="n"/>
      <c r="C933" s="29" t="n"/>
      <c r="D933" s="7">
        <f>IF(C933="","",C933*$B$1)</f>
        <v/>
      </c>
      <c r="E933" s="8">
        <f>IF(C933="","",C933-D933)</f>
        <v/>
      </c>
      <c r="F933" s="18">
        <f>IF(OR(B933="",C933=""),"",E933-B933)</f>
        <v/>
      </c>
      <c r="G933" s="20">
        <f>IF(OR(B933="",B933=0),"",F933/B933)</f>
        <v/>
      </c>
      <c r="H933" s="9" t="n"/>
    </row>
    <row r="934" ht="19.5" customHeight="1" s="49">
      <c r="A934" s="10" t="n"/>
      <c r="B934" s="25" t="n"/>
      <c r="C934" s="30" t="n"/>
      <c r="D934" s="11">
        <f>IF(C934="","",C934*$B$1)</f>
        <v/>
      </c>
      <c r="E934" s="12">
        <f>IF(C934="","",C934-D934)</f>
        <v/>
      </c>
      <c r="F934" s="19">
        <f>IF(OR(B934="",C934=""),"",E934-B934)</f>
        <v/>
      </c>
      <c r="G934" s="21">
        <f>IF(OR(B934="",B934=0),"",F934/B934)</f>
        <v/>
      </c>
      <c r="H934" s="13" t="n"/>
    </row>
    <row r="935" ht="19.5" customHeight="1" s="49">
      <c r="A935" s="6" t="n"/>
      <c r="B935" s="24" t="n"/>
      <c r="C935" s="29" t="n"/>
      <c r="D935" s="7">
        <f>IF(C935="","",C935*$B$1)</f>
        <v/>
      </c>
      <c r="E935" s="8">
        <f>IF(C935="","",C935-D935)</f>
        <v/>
      </c>
      <c r="F935" s="18">
        <f>IF(OR(B935="",C935=""),"",E935-B935)</f>
        <v/>
      </c>
      <c r="G935" s="20">
        <f>IF(OR(B935="",B935=0),"",F935/B935)</f>
        <v/>
      </c>
      <c r="H935" s="9" t="n"/>
    </row>
    <row r="936" ht="19.5" customHeight="1" s="49">
      <c r="A936" s="10" t="n"/>
      <c r="B936" s="25" t="n"/>
      <c r="C936" s="30" t="n"/>
      <c r="D936" s="11">
        <f>IF(C936="","",C936*$B$1)</f>
        <v/>
      </c>
      <c r="E936" s="12">
        <f>IF(C936="","",C936-D936)</f>
        <v/>
      </c>
      <c r="F936" s="19">
        <f>IF(OR(B936="",C936=""),"",E936-B936)</f>
        <v/>
      </c>
      <c r="G936" s="21">
        <f>IF(OR(B936="",B936=0),"",F936/B936)</f>
        <v/>
      </c>
      <c r="H936" s="13" t="n"/>
    </row>
    <row r="937" ht="19.5" customHeight="1" s="49">
      <c r="A937" s="6" t="n"/>
      <c r="B937" s="24" t="n"/>
      <c r="C937" s="29" t="n"/>
      <c r="D937" s="7">
        <f>IF(C937="","",C937*$B$1)</f>
        <v/>
      </c>
      <c r="E937" s="8">
        <f>IF(C937="","",C937-D937)</f>
        <v/>
      </c>
      <c r="F937" s="18">
        <f>IF(OR(B937="",C937=""),"",E937-B937)</f>
        <v/>
      </c>
      <c r="G937" s="20">
        <f>IF(OR(B937="",B937=0),"",F937/B937)</f>
        <v/>
      </c>
      <c r="H937" s="9" t="n"/>
    </row>
    <row r="938" ht="19.5" customHeight="1" s="49">
      <c r="A938" s="10" t="n"/>
      <c r="B938" s="25" t="n"/>
      <c r="C938" s="30" t="n"/>
      <c r="D938" s="11">
        <f>IF(C938="","",C938*$B$1)</f>
        <v/>
      </c>
      <c r="E938" s="12">
        <f>IF(C938="","",C938-D938)</f>
        <v/>
      </c>
      <c r="F938" s="19">
        <f>IF(OR(B938="",C938=""),"",E938-B938)</f>
        <v/>
      </c>
      <c r="G938" s="21">
        <f>IF(OR(B938="",B938=0),"",F938/B938)</f>
        <v/>
      </c>
      <c r="H938" s="13" t="n"/>
    </row>
    <row r="939" ht="19.5" customHeight="1" s="49">
      <c r="A939" s="6" t="n"/>
      <c r="B939" s="24" t="n"/>
      <c r="C939" s="29" t="n"/>
      <c r="D939" s="7">
        <f>IF(C939="","",C939*$B$1)</f>
        <v/>
      </c>
      <c r="E939" s="8">
        <f>IF(C939="","",C939-D939)</f>
        <v/>
      </c>
      <c r="F939" s="18">
        <f>IF(OR(B939="",C939=""),"",E939-B939)</f>
        <v/>
      </c>
      <c r="G939" s="20">
        <f>IF(OR(B939="",B939=0),"",F939/B939)</f>
        <v/>
      </c>
      <c r="H939" s="9" t="n"/>
    </row>
    <row r="940" ht="19.5" customHeight="1" s="49">
      <c r="A940" s="10" t="n"/>
      <c r="B940" s="25" t="n"/>
      <c r="C940" s="30" t="n"/>
      <c r="D940" s="11">
        <f>IF(C940="","",C940*$B$1)</f>
        <v/>
      </c>
      <c r="E940" s="12">
        <f>IF(C940="","",C940-D940)</f>
        <v/>
      </c>
      <c r="F940" s="19">
        <f>IF(OR(B940="",C940=""),"",E940-B940)</f>
        <v/>
      </c>
      <c r="G940" s="21">
        <f>IF(OR(B940="",B940=0),"",F940/B940)</f>
        <v/>
      </c>
      <c r="H940" s="13" t="n"/>
    </row>
    <row r="941" ht="19.5" customHeight="1" s="49">
      <c r="A941" s="6" t="n"/>
      <c r="B941" s="24" t="n"/>
      <c r="C941" s="29" t="n"/>
      <c r="D941" s="7">
        <f>IF(C941="","",C941*$B$1)</f>
        <v/>
      </c>
      <c r="E941" s="8">
        <f>IF(C941="","",C941-D941)</f>
        <v/>
      </c>
      <c r="F941" s="18">
        <f>IF(OR(B941="",C941=""),"",E941-B941)</f>
        <v/>
      </c>
      <c r="G941" s="20">
        <f>IF(OR(B941="",B941=0),"",F941/B941)</f>
        <v/>
      </c>
      <c r="H941" s="9" t="n"/>
    </row>
    <row r="942" ht="19.5" customHeight="1" s="49">
      <c r="A942" s="10" t="n"/>
      <c r="B942" s="25" t="n"/>
      <c r="C942" s="30" t="n"/>
      <c r="D942" s="11">
        <f>IF(C942="","",C942*$B$1)</f>
        <v/>
      </c>
      <c r="E942" s="12">
        <f>IF(C942="","",C942-D942)</f>
        <v/>
      </c>
      <c r="F942" s="19">
        <f>IF(OR(B942="",C942=""),"",E942-B942)</f>
        <v/>
      </c>
      <c r="G942" s="21">
        <f>IF(OR(B942="",B942=0),"",F942/B942)</f>
        <v/>
      </c>
      <c r="H942" s="13" t="n"/>
    </row>
    <row r="943" ht="19.5" customHeight="1" s="49">
      <c r="A943" s="6" t="n"/>
      <c r="B943" s="24" t="n"/>
      <c r="C943" s="29" t="n"/>
      <c r="D943" s="7">
        <f>IF(C943="","",C943*$B$1)</f>
        <v/>
      </c>
      <c r="E943" s="8">
        <f>IF(C943="","",C943-D943)</f>
        <v/>
      </c>
      <c r="F943" s="18">
        <f>IF(OR(B943="",C943=""),"",E943-B943)</f>
        <v/>
      </c>
      <c r="G943" s="20">
        <f>IF(OR(B943="",B943=0),"",F943/B943)</f>
        <v/>
      </c>
      <c r="H943" s="9" t="n"/>
    </row>
    <row r="944" ht="19.5" customHeight="1" s="49">
      <c r="A944" s="10" t="n"/>
      <c r="B944" s="25" t="n"/>
      <c r="C944" s="30" t="n"/>
      <c r="D944" s="11">
        <f>IF(C944="","",C944*$B$1)</f>
        <v/>
      </c>
      <c r="E944" s="12">
        <f>IF(C944="","",C944-D944)</f>
        <v/>
      </c>
      <c r="F944" s="19">
        <f>IF(OR(B944="",C944=""),"",E944-B944)</f>
        <v/>
      </c>
      <c r="G944" s="21">
        <f>IF(OR(B944="",B944=0),"",F944/B944)</f>
        <v/>
      </c>
      <c r="H944" s="13" t="n"/>
    </row>
    <row r="945" ht="19.5" customHeight="1" s="49">
      <c r="A945" s="6" t="n"/>
      <c r="B945" s="24" t="n"/>
      <c r="C945" s="29" t="n"/>
      <c r="D945" s="7">
        <f>IF(C945="","",C945*$B$1)</f>
        <v/>
      </c>
      <c r="E945" s="8">
        <f>IF(C945="","",C945-D945)</f>
        <v/>
      </c>
      <c r="F945" s="18">
        <f>IF(OR(B945="",C945=""),"",E945-B945)</f>
        <v/>
      </c>
      <c r="G945" s="20">
        <f>IF(OR(B945="",B945=0),"",F945/B945)</f>
        <v/>
      </c>
      <c r="H945" s="9" t="n"/>
    </row>
    <row r="946" ht="19.5" customHeight="1" s="49">
      <c r="A946" s="10" t="n"/>
      <c r="B946" s="25" t="n"/>
      <c r="C946" s="30" t="n"/>
      <c r="D946" s="11">
        <f>IF(C946="","",C946*$B$1)</f>
        <v/>
      </c>
      <c r="E946" s="12">
        <f>IF(C946="","",C946-D946)</f>
        <v/>
      </c>
      <c r="F946" s="19">
        <f>IF(OR(B946="",C946=""),"",E946-B946)</f>
        <v/>
      </c>
      <c r="G946" s="21">
        <f>IF(OR(B946="",B946=0),"",F946/B946)</f>
        <v/>
      </c>
      <c r="H946" s="13" t="n"/>
    </row>
    <row r="947" ht="19.5" customHeight="1" s="49">
      <c r="A947" s="6" t="n"/>
      <c r="B947" s="24" t="n"/>
      <c r="C947" s="29" t="n"/>
      <c r="D947" s="7">
        <f>IF(C947="","",C947*$B$1)</f>
        <v/>
      </c>
      <c r="E947" s="8">
        <f>IF(C947="","",C947-D947)</f>
        <v/>
      </c>
      <c r="F947" s="18">
        <f>IF(OR(B947="",C947=""),"",E947-B947)</f>
        <v/>
      </c>
      <c r="G947" s="20">
        <f>IF(OR(B947="",B947=0),"",F947/B947)</f>
        <v/>
      </c>
      <c r="H947" s="9" t="n"/>
    </row>
    <row r="948" ht="19.5" customHeight="1" s="49">
      <c r="A948" s="10" t="n"/>
      <c r="B948" s="25" t="n"/>
      <c r="C948" s="30" t="n"/>
      <c r="D948" s="11">
        <f>IF(C948="","",C948*$B$1)</f>
        <v/>
      </c>
      <c r="E948" s="12">
        <f>IF(C948="","",C948-D948)</f>
        <v/>
      </c>
      <c r="F948" s="19">
        <f>IF(OR(B948="",C948=""),"",E948-B948)</f>
        <v/>
      </c>
      <c r="G948" s="21">
        <f>IF(OR(B948="",B948=0),"",F948/B948)</f>
        <v/>
      </c>
      <c r="H948" s="13" t="n"/>
    </row>
    <row r="949" ht="19.5" customHeight="1" s="49">
      <c r="A949" s="6" t="n"/>
      <c r="B949" s="24" t="n"/>
      <c r="C949" s="29" t="n"/>
      <c r="D949" s="7">
        <f>IF(C949="","",C949*$B$1)</f>
        <v/>
      </c>
      <c r="E949" s="8">
        <f>IF(C949="","",C949-D949)</f>
        <v/>
      </c>
      <c r="F949" s="18">
        <f>IF(OR(B949="",C949=""),"",E949-B949)</f>
        <v/>
      </c>
      <c r="G949" s="20">
        <f>IF(OR(B949="",B949=0),"",F949/B949)</f>
        <v/>
      </c>
      <c r="H949" s="9" t="n"/>
    </row>
    <row r="950" ht="19.5" customHeight="1" s="49">
      <c r="A950" s="10" t="n"/>
      <c r="B950" s="25" t="n"/>
      <c r="C950" s="30" t="n"/>
      <c r="D950" s="11">
        <f>IF(C950="","",C950*$B$1)</f>
        <v/>
      </c>
      <c r="E950" s="12">
        <f>IF(C950="","",C950-D950)</f>
        <v/>
      </c>
      <c r="F950" s="19">
        <f>IF(OR(B950="",C950=""),"",E950-B950)</f>
        <v/>
      </c>
      <c r="G950" s="21">
        <f>IF(OR(B950="",B950=0),"",F950/B950)</f>
        <v/>
      </c>
      <c r="H950" s="13" t="n"/>
    </row>
    <row r="951" ht="19.5" customHeight="1" s="49">
      <c r="A951" s="6" t="n"/>
      <c r="B951" s="24" t="n"/>
      <c r="C951" s="29" t="n"/>
      <c r="D951" s="7">
        <f>IF(C951="","",C951*$B$1)</f>
        <v/>
      </c>
      <c r="E951" s="8">
        <f>IF(C951="","",C951-D951)</f>
        <v/>
      </c>
      <c r="F951" s="18">
        <f>IF(OR(B951="",C951=""),"",E951-B951)</f>
        <v/>
      </c>
      <c r="G951" s="20">
        <f>IF(OR(B951="",B951=0),"",F951/B951)</f>
        <v/>
      </c>
      <c r="H951" s="9" t="n"/>
    </row>
    <row r="952" ht="19.5" customHeight="1" s="49">
      <c r="A952" s="10" t="n"/>
      <c r="B952" s="25" t="n"/>
      <c r="C952" s="30" t="n"/>
      <c r="D952" s="11">
        <f>IF(C952="","",C952*$B$1)</f>
        <v/>
      </c>
      <c r="E952" s="12">
        <f>IF(C952="","",C952-D952)</f>
        <v/>
      </c>
      <c r="F952" s="19">
        <f>IF(OR(B952="",C952=""),"",E952-B952)</f>
        <v/>
      </c>
      <c r="G952" s="21">
        <f>IF(OR(B952="",B952=0),"",F952/B952)</f>
        <v/>
      </c>
      <c r="H952" s="13" t="n"/>
    </row>
    <row r="953" ht="19.5" customHeight="1" s="49">
      <c r="A953" s="6" t="n"/>
      <c r="B953" s="24" t="n"/>
      <c r="C953" s="29" t="n"/>
      <c r="D953" s="7">
        <f>IF(C953="","",C953*$B$1)</f>
        <v/>
      </c>
      <c r="E953" s="8">
        <f>IF(C953="","",C953-D953)</f>
        <v/>
      </c>
      <c r="F953" s="18">
        <f>IF(OR(B953="",C953=""),"",E953-B953)</f>
        <v/>
      </c>
      <c r="G953" s="20">
        <f>IF(OR(B953="",B953=0),"",F953/B953)</f>
        <v/>
      </c>
      <c r="H953" s="9" t="n"/>
    </row>
    <row r="954" ht="19.5" customHeight="1" s="49">
      <c r="A954" s="10" t="n"/>
      <c r="B954" s="25" t="n"/>
      <c r="C954" s="30" t="n"/>
      <c r="D954" s="11">
        <f>IF(C954="","",C954*$B$1)</f>
        <v/>
      </c>
      <c r="E954" s="12">
        <f>IF(C954="","",C954-D954)</f>
        <v/>
      </c>
      <c r="F954" s="19">
        <f>IF(OR(B954="",C954=""),"",E954-B954)</f>
        <v/>
      </c>
      <c r="G954" s="21">
        <f>IF(OR(B954="",B954=0),"",F954/B954)</f>
        <v/>
      </c>
      <c r="H954" s="13" t="n"/>
    </row>
    <row r="955" ht="19.5" customHeight="1" s="49">
      <c r="A955" s="6" t="n"/>
      <c r="B955" s="24" t="n"/>
      <c r="C955" s="29" t="n"/>
      <c r="D955" s="7">
        <f>IF(C955="","",C955*$B$1)</f>
        <v/>
      </c>
      <c r="E955" s="8">
        <f>IF(C955="","",C955-D955)</f>
        <v/>
      </c>
      <c r="F955" s="18">
        <f>IF(OR(B955="",C955=""),"",E955-B955)</f>
        <v/>
      </c>
      <c r="G955" s="20">
        <f>IF(OR(B955="",B955=0),"",F955/B955)</f>
        <v/>
      </c>
      <c r="H955" s="9" t="n"/>
    </row>
    <row r="956" ht="19.5" customHeight="1" s="49">
      <c r="A956" s="10" t="n"/>
      <c r="B956" s="25" t="n"/>
      <c r="C956" s="30" t="n"/>
      <c r="D956" s="11">
        <f>IF(C956="","",C956*$B$1)</f>
        <v/>
      </c>
      <c r="E956" s="12">
        <f>IF(C956="","",C956-D956)</f>
        <v/>
      </c>
      <c r="F956" s="19">
        <f>IF(OR(B956="",C956=""),"",E956-B956)</f>
        <v/>
      </c>
      <c r="G956" s="21">
        <f>IF(OR(B956="",B956=0),"",F956/B956)</f>
        <v/>
      </c>
      <c r="H956" s="13" t="n"/>
    </row>
    <row r="957" ht="19.5" customHeight="1" s="49">
      <c r="A957" s="6" t="n"/>
      <c r="B957" s="24" t="n"/>
      <c r="C957" s="29" t="n"/>
      <c r="D957" s="7">
        <f>IF(C957="","",C957*$B$1)</f>
        <v/>
      </c>
      <c r="E957" s="8">
        <f>IF(C957="","",C957-D957)</f>
        <v/>
      </c>
      <c r="F957" s="18">
        <f>IF(OR(B957="",C957=""),"",E957-B957)</f>
        <v/>
      </c>
      <c r="G957" s="20">
        <f>IF(OR(B957="",B957=0),"",F957/B957)</f>
        <v/>
      </c>
      <c r="H957" s="9" t="n"/>
    </row>
    <row r="958" ht="19.5" customHeight="1" s="49">
      <c r="A958" s="10" t="n"/>
      <c r="B958" s="25" t="n"/>
      <c r="C958" s="30" t="n"/>
      <c r="D958" s="11">
        <f>IF(C958="","",C958*$B$1)</f>
        <v/>
      </c>
      <c r="E958" s="12">
        <f>IF(C958="","",C958-D958)</f>
        <v/>
      </c>
      <c r="F958" s="19">
        <f>IF(OR(B958="",C958=""),"",E958-B958)</f>
        <v/>
      </c>
      <c r="G958" s="21">
        <f>IF(OR(B958="",B958=0),"",F958/B958)</f>
        <v/>
      </c>
      <c r="H958" s="13" t="n"/>
    </row>
    <row r="959" ht="19.5" customHeight="1" s="49">
      <c r="A959" s="6" t="n"/>
      <c r="B959" s="24" t="n"/>
      <c r="C959" s="29" t="n"/>
      <c r="D959" s="7">
        <f>IF(C959="","",C959*$B$1)</f>
        <v/>
      </c>
      <c r="E959" s="8">
        <f>IF(C959="","",C959-D959)</f>
        <v/>
      </c>
      <c r="F959" s="18">
        <f>IF(OR(B959="",C959=""),"",E959-B959)</f>
        <v/>
      </c>
      <c r="G959" s="20">
        <f>IF(OR(B959="",B959=0),"",F959/B959)</f>
        <v/>
      </c>
      <c r="H959" s="9" t="n"/>
    </row>
    <row r="960" ht="19.5" customHeight="1" s="49">
      <c r="A960" s="10" t="n"/>
      <c r="B960" s="25" t="n"/>
      <c r="C960" s="30" t="n"/>
      <c r="D960" s="11">
        <f>IF(C960="","",C960*$B$1)</f>
        <v/>
      </c>
      <c r="E960" s="12">
        <f>IF(C960="","",C960-D960)</f>
        <v/>
      </c>
      <c r="F960" s="19">
        <f>IF(OR(B960="",C960=""),"",E960-B960)</f>
        <v/>
      </c>
      <c r="G960" s="21">
        <f>IF(OR(B960="",B960=0),"",F960/B960)</f>
        <v/>
      </c>
      <c r="H960" s="13" t="n"/>
    </row>
    <row r="961" ht="19.5" customHeight="1" s="49">
      <c r="A961" s="6" t="n"/>
      <c r="B961" s="24" t="n"/>
      <c r="C961" s="29" t="n"/>
      <c r="D961" s="7">
        <f>IF(C961="","",C961*$B$1)</f>
        <v/>
      </c>
      <c r="E961" s="8">
        <f>IF(C961="","",C961-D961)</f>
        <v/>
      </c>
      <c r="F961" s="18">
        <f>IF(OR(B961="",C961=""),"",E961-B961)</f>
        <v/>
      </c>
      <c r="G961" s="20">
        <f>IF(OR(B961="",B961=0),"",F961/B961)</f>
        <v/>
      </c>
      <c r="H961" s="9" t="n"/>
    </row>
    <row r="962" ht="19.5" customHeight="1" s="49">
      <c r="A962" s="10" t="n"/>
      <c r="B962" s="25" t="n"/>
      <c r="C962" s="30" t="n"/>
      <c r="D962" s="11">
        <f>IF(C962="","",C962*$B$1)</f>
        <v/>
      </c>
      <c r="E962" s="12">
        <f>IF(C962="","",C962-D962)</f>
        <v/>
      </c>
      <c r="F962" s="19">
        <f>IF(OR(B962="",C962=""),"",E962-B962)</f>
        <v/>
      </c>
      <c r="G962" s="21">
        <f>IF(OR(B962="",B962=0),"",F962/B962)</f>
        <v/>
      </c>
      <c r="H962" s="13" t="n"/>
    </row>
    <row r="963" ht="19.5" customHeight="1" s="49">
      <c r="A963" s="6" t="n"/>
      <c r="B963" s="24" t="n"/>
      <c r="C963" s="29" t="n"/>
      <c r="D963" s="7">
        <f>IF(C963="","",C963*$B$1)</f>
        <v/>
      </c>
      <c r="E963" s="8">
        <f>IF(C963="","",C963-D963)</f>
        <v/>
      </c>
      <c r="F963" s="18">
        <f>IF(OR(B963="",C963=""),"",E963-B963)</f>
        <v/>
      </c>
      <c r="G963" s="20">
        <f>IF(OR(B963="",B963=0),"",F963/B963)</f>
        <v/>
      </c>
      <c r="H963" s="9" t="n"/>
    </row>
    <row r="964" ht="19.5" customHeight="1" s="49">
      <c r="A964" s="10" t="n"/>
      <c r="B964" s="25" t="n"/>
      <c r="C964" s="30" t="n"/>
      <c r="D964" s="11">
        <f>IF(C964="","",C964*$B$1)</f>
        <v/>
      </c>
      <c r="E964" s="12">
        <f>IF(C964="","",C964-D964)</f>
        <v/>
      </c>
      <c r="F964" s="19">
        <f>IF(OR(B964="",C964=""),"",E964-B964)</f>
        <v/>
      </c>
      <c r="G964" s="21">
        <f>IF(OR(B964="",B964=0),"",F964/B964)</f>
        <v/>
      </c>
      <c r="H964" s="13" t="n"/>
    </row>
    <row r="965" ht="19.5" customHeight="1" s="49">
      <c r="A965" s="6" t="n"/>
      <c r="B965" s="24" t="n"/>
      <c r="C965" s="29" t="n"/>
      <c r="D965" s="7">
        <f>IF(C965="","",C965*$B$1)</f>
        <v/>
      </c>
      <c r="E965" s="8">
        <f>IF(C965="","",C965-D965)</f>
        <v/>
      </c>
      <c r="F965" s="18">
        <f>IF(OR(B965="",C965=""),"",E965-B965)</f>
        <v/>
      </c>
      <c r="G965" s="20">
        <f>IF(OR(B965="",B965=0),"",F965/B965)</f>
        <v/>
      </c>
      <c r="H965" s="9" t="n"/>
    </row>
    <row r="966" ht="19.5" customHeight="1" s="49">
      <c r="A966" s="10" t="n"/>
      <c r="B966" s="25" t="n"/>
      <c r="C966" s="30" t="n"/>
      <c r="D966" s="11">
        <f>IF(C966="","",C966*$B$1)</f>
        <v/>
      </c>
      <c r="E966" s="12">
        <f>IF(C966="","",C966-D966)</f>
        <v/>
      </c>
      <c r="F966" s="19">
        <f>IF(OR(B966="",C966=""),"",E966-B966)</f>
        <v/>
      </c>
      <c r="G966" s="21">
        <f>IF(OR(B966="",B966=0),"",F966/B966)</f>
        <v/>
      </c>
      <c r="H966" s="13" t="n"/>
    </row>
    <row r="967" ht="19.5" customHeight="1" s="49">
      <c r="A967" s="6" t="n"/>
      <c r="B967" s="24" t="n"/>
      <c r="C967" s="29" t="n"/>
      <c r="D967" s="7">
        <f>IF(C967="","",C967*$B$1)</f>
        <v/>
      </c>
      <c r="E967" s="8">
        <f>IF(C967="","",C967-D967)</f>
        <v/>
      </c>
      <c r="F967" s="18">
        <f>IF(OR(B967="",C967=""),"",E967-B967)</f>
        <v/>
      </c>
      <c r="G967" s="20">
        <f>IF(OR(B967="",B967=0),"",F967/B967)</f>
        <v/>
      </c>
      <c r="H967" s="9" t="n"/>
    </row>
    <row r="968" ht="19.5" customHeight="1" s="49">
      <c r="A968" s="10" t="n"/>
      <c r="B968" s="25" t="n"/>
      <c r="C968" s="30" t="n"/>
      <c r="D968" s="11">
        <f>IF(C968="","",C968*$B$1)</f>
        <v/>
      </c>
      <c r="E968" s="12">
        <f>IF(C968="","",C968-D968)</f>
        <v/>
      </c>
      <c r="F968" s="19">
        <f>IF(OR(B968="",C968=""),"",E968-B968)</f>
        <v/>
      </c>
      <c r="G968" s="21">
        <f>IF(OR(B968="",B968=0),"",F968/B968)</f>
        <v/>
      </c>
      <c r="H968" s="13" t="n"/>
    </row>
    <row r="969" ht="19.5" customHeight="1" s="49">
      <c r="A969" s="6" t="n"/>
      <c r="B969" s="24" t="n"/>
      <c r="C969" s="29" t="n"/>
      <c r="D969" s="7">
        <f>IF(C969="","",C969*$B$1)</f>
        <v/>
      </c>
      <c r="E969" s="8">
        <f>IF(C969="","",C969-D969)</f>
        <v/>
      </c>
      <c r="F969" s="18">
        <f>IF(OR(B969="",C969=""),"",E969-B969)</f>
        <v/>
      </c>
      <c r="G969" s="20">
        <f>IF(OR(B969="",B969=0),"",F969/B969)</f>
        <v/>
      </c>
      <c r="H969" s="9" t="n"/>
    </row>
    <row r="970" ht="19.5" customHeight="1" s="49">
      <c r="A970" s="10" t="n"/>
      <c r="B970" s="25" t="n"/>
      <c r="C970" s="30" t="n"/>
      <c r="D970" s="11">
        <f>IF(C970="","",C970*$B$1)</f>
        <v/>
      </c>
      <c r="E970" s="12">
        <f>IF(C970="","",C970-D970)</f>
        <v/>
      </c>
      <c r="F970" s="19">
        <f>IF(OR(B970="",C970=""),"",E970-B970)</f>
        <v/>
      </c>
      <c r="G970" s="21">
        <f>IF(OR(B970="",B970=0),"",F970/B970)</f>
        <v/>
      </c>
      <c r="H970" s="13" t="n"/>
    </row>
    <row r="971" ht="19.5" customHeight="1" s="49">
      <c r="A971" s="6" t="n"/>
      <c r="B971" s="24" t="n"/>
      <c r="C971" s="29" t="n"/>
      <c r="D971" s="7">
        <f>IF(C971="","",C971*$B$1)</f>
        <v/>
      </c>
      <c r="E971" s="8">
        <f>IF(C971="","",C971-D971)</f>
        <v/>
      </c>
      <c r="F971" s="18">
        <f>IF(OR(B971="",C971=""),"",E971-B971)</f>
        <v/>
      </c>
      <c r="G971" s="20">
        <f>IF(OR(B971="",B971=0),"",F971/B971)</f>
        <v/>
      </c>
      <c r="H971" s="9" t="n"/>
    </row>
    <row r="972" ht="19.5" customHeight="1" s="49">
      <c r="A972" s="10" t="n"/>
      <c r="B972" s="25" t="n"/>
      <c r="C972" s="30" t="n"/>
      <c r="D972" s="11">
        <f>IF(C972="","",C972*$B$1)</f>
        <v/>
      </c>
      <c r="E972" s="12">
        <f>IF(C972="","",C972-D972)</f>
        <v/>
      </c>
      <c r="F972" s="19">
        <f>IF(OR(B972="",C972=""),"",E972-B972)</f>
        <v/>
      </c>
      <c r="G972" s="21">
        <f>IF(OR(B972="",B972=0),"",F972/B972)</f>
        <v/>
      </c>
      <c r="H972" s="13" t="n"/>
    </row>
    <row r="973" ht="19.5" customHeight="1" s="49">
      <c r="A973" s="6" t="n"/>
      <c r="B973" s="24" t="n"/>
      <c r="C973" s="29" t="n"/>
      <c r="D973" s="7">
        <f>IF(C973="","",C973*$B$1)</f>
        <v/>
      </c>
      <c r="E973" s="8">
        <f>IF(C973="","",C973-D973)</f>
        <v/>
      </c>
      <c r="F973" s="18">
        <f>IF(OR(B973="",C973=""),"",E973-B973)</f>
        <v/>
      </c>
      <c r="G973" s="20">
        <f>IF(OR(B973="",B973=0),"",F973/B973)</f>
        <v/>
      </c>
      <c r="H973" s="9" t="n"/>
    </row>
    <row r="974" ht="19.5" customHeight="1" s="49">
      <c r="A974" s="10" t="n"/>
      <c r="B974" s="25" t="n"/>
      <c r="C974" s="30" t="n"/>
      <c r="D974" s="11">
        <f>IF(C974="","",C974*$B$1)</f>
        <v/>
      </c>
      <c r="E974" s="12">
        <f>IF(C974="","",C974-D974)</f>
        <v/>
      </c>
      <c r="F974" s="19">
        <f>IF(OR(B974="",C974=""),"",E974-B974)</f>
        <v/>
      </c>
      <c r="G974" s="21">
        <f>IF(OR(B974="",B974=0),"",F974/B974)</f>
        <v/>
      </c>
      <c r="H974" s="13" t="n"/>
    </row>
    <row r="975" ht="19.5" customHeight="1" s="49">
      <c r="A975" s="6" t="n"/>
      <c r="B975" s="24" t="n"/>
      <c r="C975" s="29" t="n"/>
      <c r="D975" s="7">
        <f>IF(C975="","",C975*$B$1)</f>
        <v/>
      </c>
      <c r="E975" s="8">
        <f>IF(C975="","",C975-D975)</f>
        <v/>
      </c>
      <c r="F975" s="18">
        <f>IF(OR(B975="",C975=""),"",E975-B975)</f>
        <v/>
      </c>
      <c r="G975" s="20">
        <f>IF(OR(B975="",B975=0),"",F975/B975)</f>
        <v/>
      </c>
      <c r="H975" s="9" t="n"/>
    </row>
    <row r="976" ht="19.5" customHeight="1" s="49">
      <c r="A976" s="10" t="n"/>
      <c r="B976" s="25" t="n"/>
      <c r="C976" s="30" t="n"/>
      <c r="D976" s="11">
        <f>IF(C976="","",C976*$B$1)</f>
        <v/>
      </c>
      <c r="E976" s="12">
        <f>IF(C976="","",C976-D976)</f>
        <v/>
      </c>
      <c r="F976" s="19">
        <f>IF(OR(B976="",C976=""),"",E976-B976)</f>
        <v/>
      </c>
      <c r="G976" s="21">
        <f>IF(OR(B976="",B976=0),"",F976/B976)</f>
        <v/>
      </c>
      <c r="H976" s="13" t="n"/>
    </row>
    <row r="977" ht="19.5" customHeight="1" s="49">
      <c r="A977" s="6" t="n"/>
      <c r="B977" s="24" t="n"/>
      <c r="C977" s="29" t="n"/>
      <c r="D977" s="7">
        <f>IF(C977="","",C977*$B$1)</f>
        <v/>
      </c>
      <c r="E977" s="8">
        <f>IF(C977="","",C977-D977)</f>
        <v/>
      </c>
      <c r="F977" s="18">
        <f>IF(OR(B977="",C977=""),"",E977-B977)</f>
        <v/>
      </c>
      <c r="G977" s="20">
        <f>IF(OR(B977="",B977=0),"",F977/B977)</f>
        <v/>
      </c>
      <c r="H977" s="9" t="n"/>
    </row>
    <row r="978" ht="19.5" customHeight="1" s="49">
      <c r="A978" s="10" t="n"/>
      <c r="B978" s="25" t="n"/>
      <c r="C978" s="30" t="n"/>
      <c r="D978" s="11">
        <f>IF(C978="","",C978*$B$1)</f>
        <v/>
      </c>
      <c r="E978" s="12">
        <f>IF(C978="","",C978-D978)</f>
        <v/>
      </c>
      <c r="F978" s="19">
        <f>IF(OR(B978="",C978=""),"",E978-B978)</f>
        <v/>
      </c>
      <c r="G978" s="21">
        <f>IF(OR(B978="",B978=0),"",F978/B978)</f>
        <v/>
      </c>
      <c r="H978" s="13" t="n"/>
    </row>
    <row r="979" ht="19.5" customHeight="1" s="49">
      <c r="A979" s="6" t="n"/>
      <c r="B979" s="24" t="n"/>
      <c r="C979" s="29" t="n"/>
      <c r="D979" s="7">
        <f>IF(C979="","",C979*$B$1)</f>
        <v/>
      </c>
      <c r="E979" s="8">
        <f>IF(C979="","",C979-D979)</f>
        <v/>
      </c>
      <c r="F979" s="18">
        <f>IF(OR(B979="",C979=""),"",E979-B979)</f>
        <v/>
      </c>
      <c r="G979" s="20">
        <f>IF(OR(B979="",B979=0),"",F979/B979)</f>
        <v/>
      </c>
      <c r="H979" s="9" t="n"/>
    </row>
    <row r="980" ht="19.5" customHeight="1" s="49">
      <c r="A980" s="10" t="n"/>
      <c r="B980" s="25" t="n"/>
      <c r="C980" s="30" t="n"/>
      <c r="D980" s="11">
        <f>IF(C980="","",C980*$B$1)</f>
        <v/>
      </c>
      <c r="E980" s="12">
        <f>IF(C980="","",C980-D980)</f>
        <v/>
      </c>
      <c r="F980" s="19">
        <f>IF(OR(B980="",C980=""),"",E980-B980)</f>
        <v/>
      </c>
      <c r="G980" s="21">
        <f>IF(OR(B980="",B980=0),"",F980/B980)</f>
        <v/>
      </c>
      <c r="H980" s="13" t="n"/>
    </row>
    <row r="981" ht="19.5" customHeight="1" s="49">
      <c r="A981" s="6" t="n"/>
      <c r="B981" s="24" t="n"/>
      <c r="C981" s="29" t="n"/>
      <c r="D981" s="7">
        <f>IF(C981="","",C981*$B$1)</f>
        <v/>
      </c>
      <c r="E981" s="8">
        <f>IF(C981="","",C981-D981)</f>
        <v/>
      </c>
      <c r="F981" s="18">
        <f>IF(OR(B981="",C981=""),"",E981-B981)</f>
        <v/>
      </c>
      <c r="G981" s="20">
        <f>IF(OR(B981="",B981=0),"",F981/B981)</f>
        <v/>
      </c>
      <c r="H981" s="9" t="n"/>
    </row>
    <row r="982" ht="19.5" customHeight="1" s="49">
      <c r="A982" s="10" t="n"/>
      <c r="B982" s="25" t="n"/>
      <c r="C982" s="30" t="n"/>
      <c r="D982" s="11">
        <f>IF(C982="","",C982*$B$1)</f>
        <v/>
      </c>
      <c r="E982" s="12">
        <f>IF(C982="","",C982-D982)</f>
        <v/>
      </c>
      <c r="F982" s="19">
        <f>IF(OR(B982="",C982=""),"",E982-B982)</f>
        <v/>
      </c>
      <c r="G982" s="21">
        <f>IF(OR(B982="",B982=0),"",F982/B982)</f>
        <v/>
      </c>
      <c r="H982" s="13" t="n"/>
    </row>
    <row r="983" ht="19.5" customHeight="1" s="49">
      <c r="A983" s="6" t="n"/>
      <c r="B983" s="24" t="n"/>
      <c r="C983" s="29" t="n"/>
      <c r="D983" s="7">
        <f>IF(C983="","",C983*$B$1)</f>
        <v/>
      </c>
      <c r="E983" s="8">
        <f>IF(C983="","",C983-D983)</f>
        <v/>
      </c>
      <c r="F983" s="18">
        <f>IF(OR(B983="",C983=""),"",E983-B983)</f>
        <v/>
      </c>
      <c r="G983" s="20">
        <f>IF(OR(B983="",B983=0),"",F983/B983)</f>
        <v/>
      </c>
      <c r="H983" s="9" t="n"/>
    </row>
    <row r="984" ht="19.5" customHeight="1" s="49">
      <c r="A984" s="10" t="n"/>
      <c r="B984" s="25" t="n"/>
      <c r="C984" s="30" t="n"/>
      <c r="D984" s="11">
        <f>IF(C984="","",C984*$B$1)</f>
        <v/>
      </c>
      <c r="E984" s="12">
        <f>IF(C984="","",C984-D984)</f>
        <v/>
      </c>
      <c r="F984" s="19">
        <f>IF(OR(B984="",C984=""),"",E984-B984)</f>
        <v/>
      </c>
      <c r="G984" s="21">
        <f>IF(OR(B984="",B984=0),"",F984/B984)</f>
        <v/>
      </c>
      <c r="H984" s="13" t="n"/>
    </row>
    <row r="985" ht="19.5" customHeight="1" s="49">
      <c r="A985" s="6" t="n"/>
      <c r="B985" s="24" t="n"/>
      <c r="C985" s="29" t="n"/>
      <c r="D985" s="7">
        <f>IF(C985="","",C985*$B$1)</f>
        <v/>
      </c>
      <c r="E985" s="8">
        <f>IF(C985="","",C985-D985)</f>
        <v/>
      </c>
      <c r="F985" s="18">
        <f>IF(OR(B985="",C985=""),"",E985-B985)</f>
        <v/>
      </c>
      <c r="G985" s="20">
        <f>IF(OR(B985="",B985=0),"",F985/B985)</f>
        <v/>
      </c>
      <c r="H985" s="9" t="n"/>
    </row>
    <row r="986" ht="19.5" customHeight="1" s="49">
      <c r="A986" s="10" t="n"/>
      <c r="B986" s="25" t="n"/>
      <c r="C986" s="30" t="n"/>
      <c r="D986" s="11">
        <f>IF(C986="","",C986*$B$1)</f>
        <v/>
      </c>
      <c r="E986" s="12">
        <f>IF(C986="","",C986-D986)</f>
        <v/>
      </c>
      <c r="F986" s="19">
        <f>IF(OR(B986="",C986=""),"",E986-B986)</f>
        <v/>
      </c>
      <c r="G986" s="21">
        <f>IF(OR(B986="",B986=0),"",F986/B986)</f>
        <v/>
      </c>
      <c r="H986" s="13" t="n"/>
    </row>
    <row r="987" ht="19.5" customHeight="1" s="49">
      <c r="A987" s="6" t="n"/>
      <c r="B987" s="24" t="n"/>
      <c r="C987" s="29" t="n"/>
      <c r="D987" s="7">
        <f>IF(C987="","",C987*$B$1)</f>
        <v/>
      </c>
      <c r="E987" s="8">
        <f>IF(C987="","",C987-D987)</f>
        <v/>
      </c>
      <c r="F987" s="18">
        <f>IF(OR(B987="",C987=""),"",E987-B987)</f>
        <v/>
      </c>
      <c r="G987" s="20">
        <f>IF(OR(B987="",B987=0),"",F987/B987)</f>
        <v/>
      </c>
      <c r="H987" s="9" t="n"/>
    </row>
    <row r="988" ht="19.5" customHeight="1" s="49">
      <c r="A988" s="10" t="n"/>
      <c r="B988" s="25" t="n"/>
      <c r="C988" s="30" t="n"/>
      <c r="D988" s="11">
        <f>IF(C988="","",C988*$B$1)</f>
        <v/>
      </c>
      <c r="E988" s="12">
        <f>IF(C988="","",C988-D988)</f>
        <v/>
      </c>
      <c r="F988" s="19">
        <f>IF(OR(B988="",C988=""),"",E988-B988)</f>
        <v/>
      </c>
      <c r="G988" s="21">
        <f>IF(OR(B988="",B988=0),"",F988/B988)</f>
        <v/>
      </c>
      <c r="H988" s="13" t="n"/>
    </row>
    <row r="989" ht="19.5" customHeight="1" s="49">
      <c r="A989" s="6" t="n"/>
      <c r="B989" s="24" t="n"/>
      <c r="C989" s="29" t="n"/>
      <c r="D989" s="7">
        <f>IF(C989="","",C989*$B$1)</f>
        <v/>
      </c>
      <c r="E989" s="8">
        <f>IF(C989="","",C989-D989)</f>
        <v/>
      </c>
      <c r="F989" s="18">
        <f>IF(OR(B989="",C989=""),"",E989-B989)</f>
        <v/>
      </c>
      <c r="G989" s="20">
        <f>IF(OR(B989="",B989=0),"",F989/B989)</f>
        <v/>
      </c>
      <c r="H989" s="9" t="n"/>
    </row>
    <row r="990" ht="19.5" customHeight="1" s="49">
      <c r="A990" s="10" t="n"/>
      <c r="B990" s="25" t="n"/>
      <c r="C990" s="30" t="n"/>
      <c r="D990" s="11">
        <f>IF(C990="","",C990*$B$1)</f>
        <v/>
      </c>
      <c r="E990" s="12">
        <f>IF(C990="","",C990-D990)</f>
        <v/>
      </c>
      <c r="F990" s="19">
        <f>IF(OR(B990="",C990=""),"",E990-B990)</f>
        <v/>
      </c>
      <c r="G990" s="21">
        <f>IF(OR(B990="",B990=0),"",F990/B990)</f>
        <v/>
      </c>
      <c r="H990" s="13" t="n"/>
    </row>
    <row r="991" ht="19.5" customHeight="1" s="49">
      <c r="A991" s="6" t="n"/>
      <c r="B991" s="24" t="n"/>
      <c r="C991" s="29" t="n"/>
      <c r="D991" s="7">
        <f>IF(C991="","",C991*$B$1)</f>
        <v/>
      </c>
      <c r="E991" s="8">
        <f>IF(C991="","",C991-D991)</f>
        <v/>
      </c>
      <c r="F991" s="18">
        <f>IF(OR(B991="",C991=""),"",E991-B991)</f>
        <v/>
      </c>
      <c r="G991" s="20">
        <f>IF(OR(B991="",B991=0),"",F991/B991)</f>
        <v/>
      </c>
      <c r="H991" s="9" t="n"/>
    </row>
    <row r="992" ht="19.5" customHeight="1" s="49">
      <c r="A992" s="10" t="n"/>
      <c r="B992" s="25" t="n"/>
      <c r="C992" s="30" t="n"/>
      <c r="D992" s="11">
        <f>IF(C992="","",C992*$B$1)</f>
        <v/>
      </c>
      <c r="E992" s="12">
        <f>IF(C992="","",C992-D992)</f>
        <v/>
      </c>
      <c r="F992" s="19">
        <f>IF(OR(B992="",C992=""),"",E992-B992)</f>
        <v/>
      </c>
      <c r="G992" s="21">
        <f>IF(OR(B992="",B992=0),"",F992/B992)</f>
        <v/>
      </c>
      <c r="H992" s="13" t="n"/>
    </row>
    <row r="993" ht="19.5" customHeight="1" s="49">
      <c r="A993" s="6" t="n"/>
      <c r="B993" s="24" t="n"/>
      <c r="C993" s="29" t="n"/>
      <c r="D993" s="7">
        <f>IF(C993="","",C993*$B$1)</f>
        <v/>
      </c>
      <c r="E993" s="8">
        <f>IF(C993="","",C993-D993)</f>
        <v/>
      </c>
      <c r="F993" s="18">
        <f>IF(OR(B993="",C993=""),"",E993-B993)</f>
        <v/>
      </c>
      <c r="G993" s="20">
        <f>IF(OR(B993="",B993=0),"",F993/B993)</f>
        <v/>
      </c>
      <c r="H993" s="9" t="n"/>
    </row>
    <row r="994" ht="19.5" customHeight="1" s="49">
      <c r="A994" s="10" t="n"/>
      <c r="B994" s="25" t="n"/>
      <c r="C994" s="30" t="n"/>
      <c r="D994" s="11">
        <f>IF(C994="","",C994*$B$1)</f>
        <v/>
      </c>
      <c r="E994" s="12">
        <f>IF(C994="","",C994-D994)</f>
        <v/>
      </c>
      <c r="F994" s="19">
        <f>IF(OR(B994="",C994=""),"",E994-B994)</f>
        <v/>
      </c>
      <c r="G994" s="21">
        <f>IF(OR(B994="",B994=0),"",F994/B994)</f>
        <v/>
      </c>
      <c r="H994" s="13" t="n"/>
    </row>
    <row r="995" ht="19.5" customHeight="1" s="49">
      <c r="A995" s="6" t="n"/>
      <c r="B995" s="24" t="n"/>
      <c r="C995" s="29" t="n"/>
      <c r="D995" s="7">
        <f>IF(C995="","",C995*$B$1)</f>
        <v/>
      </c>
      <c r="E995" s="8">
        <f>IF(C995="","",C995-D995)</f>
        <v/>
      </c>
      <c r="F995" s="18">
        <f>IF(OR(B995="",C995=""),"",E995-B995)</f>
        <v/>
      </c>
      <c r="G995" s="20">
        <f>IF(OR(B995="",B995=0),"",F995/B995)</f>
        <v/>
      </c>
      <c r="H995" s="9" t="n"/>
    </row>
    <row r="996" ht="19.5" customHeight="1" s="49">
      <c r="A996" s="10" t="n"/>
      <c r="B996" s="25" t="n"/>
      <c r="C996" s="30" t="n"/>
      <c r="D996" s="11">
        <f>IF(C996="","",C996*$B$1)</f>
        <v/>
      </c>
      <c r="E996" s="12">
        <f>IF(C996="","",C996-D996)</f>
        <v/>
      </c>
      <c r="F996" s="19">
        <f>IF(OR(B996="",C996=""),"",E996-B996)</f>
        <v/>
      </c>
      <c r="G996" s="21">
        <f>IF(OR(B996="",B996=0),"",F996/B996)</f>
        <v/>
      </c>
      <c r="H996" s="13" t="n"/>
    </row>
    <row r="997" ht="19.5" customHeight="1" s="49">
      <c r="A997" s="6" t="n"/>
      <c r="B997" s="24" t="n"/>
      <c r="C997" s="29" t="n"/>
      <c r="D997" s="7">
        <f>IF(C997="","",C997*$B$1)</f>
        <v/>
      </c>
      <c r="E997" s="8">
        <f>IF(C997="","",C997-D997)</f>
        <v/>
      </c>
      <c r="F997" s="18">
        <f>IF(OR(B997="",C997=""),"",E997-B997)</f>
        <v/>
      </c>
      <c r="G997" s="20">
        <f>IF(OR(B997="",B997=0),"",F997/B997)</f>
        <v/>
      </c>
      <c r="H997" s="9" t="n"/>
    </row>
    <row r="998" ht="19.5" customHeight="1" s="49">
      <c r="A998" s="10" t="n"/>
      <c r="B998" s="25" t="n"/>
      <c r="C998" s="30" t="n"/>
      <c r="D998" s="11">
        <f>IF(C998="","",C998*$B$1)</f>
        <v/>
      </c>
      <c r="E998" s="12">
        <f>IF(C998="","",C998-D998)</f>
        <v/>
      </c>
      <c r="F998" s="19">
        <f>IF(OR(B998="",C998=""),"",E998-B998)</f>
        <v/>
      </c>
      <c r="G998" s="21">
        <f>IF(OR(B998="",B998=0),"",F998/B998)</f>
        <v/>
      </c>
      <c r="H998" s="13" t="n"/>
    </row>
    <row r="999" ht="19.5" customHeight="1" s="49">
      <c r="A999" s="6" t="n"/>
      <c r="B999" s="24" t="n"/>
      <c r="C999" s="29" t="n"/>
      <c r="D999" s="7">
        <f>IF(C999="","",C999*$B$1)</f>
        <v/>
      </c>
      <c r="E999" s="8">
        <f>IF(C999="","",C999-D999)</f>
        <v/>
      </c>
      <c r="F999" s="18">
        <f>IF(OR(B999="",C999=""),"",E999-B999)</f>
        <v/>
      </c>
      <c r="G999" s="20">
        <f>IF(OR(B999="",B999=0),"",F999/B999)</f>
        <v/>
      </c>
      <c r="H999" s="9" t="n"/>
    </row>
    <row r="1000" ht="19.5" customHeight="1" s="49">
      <c r="A1000" s="10" t="n"/>
      <c r="B1000" s="25" t="n"/>
      <c r="C1000" s="30" t="n"/>
      <c r="D1000" s="11">
        <f>IF(C1000="","",C1000*$B$1)</f>
        <v/>
      </c>
      <c r="E1000" s="12">
        <f>IF(C1000="","",C1000-D1000)</f>
        <v/>
      </c>
      <c r="F1000" s="19">
        <f>IF(OR(B1000="",C1000=""),"",E1000-B1000)</f>
        <v/>
      </c>
      <c r="G1000" s="21">
        <f>IF(OR(B1000="",B1000=0),"",F1000/B1000)</f>
        <v/>
      </c>
      <c r="H1000" s="13" t="n"/>
    </row>
    <row r="1001" ht="19.5" customHeight="1" s="49">
      <c r="A1001" s="6" t="n"/>
      <c r="B1001" s="24" t="n"/>
      <c r="C1001" s="29" t="n"/>
      <c r="D1001" s="7">
        <f>IF(C1001="","",C1001*$B$1)</f>
        <v/>
      </c>
      <c r="E1001" s="8">
        <f>IF(C1001="","",C1001-D1001)</f>
        <v/>
      </c>
      <c r="F1001" s="18">
        <f>IF(OR(B1001="",C1001=""),"",E1001-B1001)</f>
        <v/>
      </c>
      <c r="G1001" s="20">
        <f>IF(OR(B1001="",B1001=0),"",F1001/B1001)</f>
        <v/>
      </c>
      <c r="H1001" s="9" t="n"/>
    </row>
    <row r="1002" ht="19.5" customHeight="1" s="49">
      <c r="A1002" s="10" t="n"/>
      <c r="B1002" s="25" t="n"/>
      <c r="C1002" s="30" t="n"/>
      <c r="D1002" s="11">
        <f>IF(C1002="","",C1002*$B$1)</f>
        <v/>
      </c>
      <c r="E1002" s="12">
        <f>IF(C1002="","",C1002-D1002)</f>
        <v/>
      </c>
      <c r="F1002" s="19">
        <f>IF(OR(B1002="",C1002=""),"",E1002-B1002)</f>
        <v/>
      </c>
      <c r="G1002" s="21">
        <f>IF(OR(B1002="",B1002=0),"",F1002/B1002)</f>
        <v/>
      </c>
      <c r="H1002" s="13" t="n"/>
    </row>
    <row r="1003" ht="19.5" customHeight="1" s="49">
      <c r="A1003" s="6" t="n"/>
      <c r="B1003" s="24" t="n"/>
      <c r="C1003" s="29" t="n"/>
      <c r="D1003" s="7">
        <f>IF(C1003="","",C1003*$B$1)</f>
        <v/>
      </c>
      <c r="E1003" s="8">
        <f>IF(C1003="","",C1003-D1003)</f>
        <v/>
      </c>
      <c r="F1003" s="18">
        <f>IF(OR(B1003="",C1003=""),"",E1003-B1003)</f>
        <v/>
      </c>
      <c r="G1003" s="20">
        <f>IF(OR(B1003="",B1003=0),"",F1003/B1003)</f>
        <v/>
      </c>
      <c r="H1003" s="9" t="n"/>
    </row>
    <row r="1004" ht="19.5" customHeight="1" s="49">
      <c r="A1004" s="10" t="n"/>
      <c r="B1004" s="25" t="n"/>
      <c r="C1004" s="30" t="n"/>
      <c r="D1004" s="11">
        <f>IF(C1004="","",C1004*$B$1)</f>
        <v/>
      </c>
      <c r="E1004" s="12">
        <f>IF(C1004="","",C1004-D1004)</f>
        <v/>
      </c>
      <c r="F1004" s="19">
        <f>IF(OR(B1004="",C1004=""),"",E1004-B1004)</f>
        <v/>
      </c>
      <c r="G1004" s="21">
        <f>IF(OR(B1004="",B1004=0),"",F1004/B1004)</f>
        <v/>
      </c>
      <c r="H1004" s="13" t="n"/>
    </row>
    <row r="1005" ht="19.5" customHeight="1" s="49">
      <c r="A1005" s="6" t="n"/>
      <c r="B1005" s="24" t="n"/>
      <c r="C1005" s="29" t="n"/>
      <c r="D1005" s="7">
        <f>IF(C1005="","",C1005*$B$1)</f>
        <v/>
      </c>
      <c r="E1005" s="8">
        <f>IF(C1005="","",C1005-D1005)</f>
        <v/>
      </c>
      <c r="F1005" s="18">
        <f>IF(OR(B1005="",C1005=""),"",E1005-B1005)</f>
        <v/>
      </c>
      <c r="G1005" s="20">
        <f>IF(OR(B1005="",B1005=0),"",F1005/B1005)</f>
        <v/>
      </c>
      <c r="H1005" s="9" t="n"/>
    </row>
    <row r="1006" ht="19.5" customHeight="1" s="49">
      <c r="A1006" s="10" t="n"/>
      <c r="B1006" s="25" t="n"/>
      <c r="C1006" s="30" t="n"/>
      <c r="D1006" s="11">
        <f>IF(C1006="","",C1006*$B$1)</f>
        <v/>
      </c>
      <c r="E1006" s="12">
        <f>IF(C1006="","",C1006-D1006)</f>
        <v/>
      </c>
      <c r="F1006" s="19">
        <f>IF(OR(B1006="",C1006=""),"",E1006-B1006)</f>
        <v/>
      </c>
      <c r="G1006" s="21">
        <f>IF(OR(B1006="",B1006=0),"",F1006/B1006)</f>
        <v/>
      </c>
      <c r="H1006" s="13" t="n"/>
    </row>
    <row r="1007" ht="19.5" customHeight="1" s="49">
      <c r="A1007" s="6" t="n"/>
      <c r="B1007" s="24" t="n"/>
      <c r="C1007" s="29" t="n"/>
      <c r="D1007" s="7">
        <f>IF(C1007="","",C1007*$B$1)</f>
        <v/>
      </c>
      <c r="E1007" s="8">
        <f>IF(C1007="","",C1007-D1007)</f>
        <v/>
      </c>
      <c r="F1007" s="18">
        <f>IF(OR(B1007="",C1007=""),"",E1007-B1007)</f>
        <v/>
      </c>
      <c r="G1007" s="20">
        <f>IF(OR(B1007="",B1007=0),"",F1007/B1007)</f>
        <v/>
      </c>
      <c r="H1007" s="9" t="n"/>
    </row>
    <row r="1008" ht="19.5" customHeight="1" s="49">
      <c r="A1008" s="10" t="n"/>
      <c r="B1008" s="25" t="n"/>
      <c r="C1008" s="30" t="n"/>
      <c r="D1008" s="11">
        <f>IF(C1008="","",C1008*$B$1)</f>
        <v/>
      </c>
      <c r="E1008" s="12">
        <f>IF(C1008="","",C1008-D1008)</f>
        <v/>
      </c>
      <c r="F1008" s="19">
        <f>IF(OR(B1008="",C1008=""),"",E1008-B1008)</f>
        <v/>
      </c>
      <c r="G1008" s="21">
        <f>IF(OR(B1008="",B1008=0),"",F1008/B1008)</f>
        <v/>
      </c>
      <c r="H1008" s="13" t="n"/>
    </row>
    <row r="1009" ht="19.5" customHeight="1" s="49">
      <c r="A1009" s="6" t="n"/>
      <c r="B1009" s="24" t="n"/>
      <c r="C1009" s="29" t="n"/>
      <c r="D1009" s="7">
        <f>IF(C1009="","",C1009*$B$1)</f>
        <v/>
      </c>
      <c r="E1009" s="8">
        <f>IF(C1009="","",C1009-D1009)</f>
        <v/>
      </c>
      <c r="F1009" s="18">
        <f>IF(OR(B1009="",C1009=""),"",E1009-B1009)</f>
        <v/>
      </c>
      <c r="G1009" s="20">
        <f>IF(OR(B1009="",B1009=0),"",F1009/B1009)</f>
        <v/>
      </c>
      <c r="H1009" s="9" t="n"/>
    </row>
    <row r="1010" ht="19.5" customHeight="1" s="49">
      <c r="A1010" s="10" t="n"/>
      <c r="B1010" s="25" t="n"/>
      <c r="C1010" s="30" t="n"/>
      <c r="D1010" s="11">
        <f>IF(C1010="","",C1010*$B$1)</f>
        <v/>
      </c>
      <c r="E1010" s="12">
        <f>IF(C1010="","",C1010-D1010)</f>
        <v/>
      </c>
      <c r="F1010" s="19">
        <f>IF(OR(B1010="",C1010=""),"",E1010-B1010)</f>
        <v/>
      </c>
      <c r="G1010" s="21">
        <f>IF(OR(B1010="",B1010=0),"",F1010/B1010)</f>
        <v/>
      </c>
      <c r="H1010" s="13" t="n"/>
    </row>
    <row r="1011" ht="19.5" customHeight="1" s="49">
      <c r="A1011" s="6" t="n"/>
      <c r="B1011" s="24" t="n"/>
      <c r="C1011" s="29" t="n"/>
      <c r="D1011" s="7">
        <f>IF(C1011="","",C1011*$B$1)</f>
        <v/>
      </c>
      <c r="E1011" s="8">
        <f>IF(C1011="","",C1011-D1011)</f>
        <v/>
      </c>
      <c r="F1011" s="18">
        <f>IF(OR(B1011="",C1011=""),"",E1011-B1011)</f>
        <v/>
      </c>
      <c r="G1011" s="20">
        <f>IF(OR(B1011="",B1011=0),"",F1011/B1011)</f>
        <v/>
      </c>
      <c r="H1011" s="9" t="n"/>
    </row>
    <row r="1012" ht="19.5" customHeight="1" s="49">
      <c r="A1012" s="10" t="n"/>
      <c r="B1012" s="25" t="n"/>
      <c r="C1012" s="30" t="n"/>
      <c r="D1012" s="11">
        <f>IF(C1012="","",C1012*$B$1)</f>
        <v/>
      </c>
      <c r="E1012" s="12">
        <f>IF(C1012="","",C1012-D1012)</f>
        <v/>
      </c>
      <c r="F1012" s="19">
        <f>IF(OR(B1012="",C1012=""),"",E1012-B1012)</f>
        <v/>
      </c>
      <c r="G1012" s="21">
        <f>IF(OR(B1012="",B1012=0),"",F1012/B1012)</f>
        <v/>
      </c>
      <c r="H1012" s="13" t="n"/>
    </row>
    <row r="1013" ht="19.5" customHeight="1" s="49">
      <c r="A1013" s="6" t="n"/>
      <c r="B1013" s="24" t="n"/>
      <c r="C1013" s="29" t="n"/>
      <c r="D1013" s="7">
        <f>IF(C1013="","",C1013*$B$1)</f>
        <v/>
      </c>
      <c r="E1013" s="8">
        <f>IF(C1013="","",C1013-D1013)</f>
        <v/>
      </c>
      <c r="F1013" s="18">
        <f>IF(OR(B1013="",C1013=""),"",E1013-B1013)</f>
        <v/>
      </c>
      <c r="G1013" s="20">
        <f>IF(OR(B1013="",B1013=0),"",F1013/B1013)</f>
        <v/>
      </c>
      <c r="H1013" s="9" t="n"/>
    </row>
    <row r="1014" ht="19.5" customHeight="1" s="49">
      <c r="A1014" s="10" t="n"/>
      <c r="B1014" s="25" t="n"/>
      <c r="C1014" s="30" t="n"/>
      <c r="D1014" s="11">
        <f>IF(C1014="","",C1014*$B$1)</f>
        <v/>
      </c>
      <c r="E1014" s="12">
        <f>IF(C1014="","",C1014-D1014)</f>
        <v/>
      </c>
      <c r="F1014" s="19">
        <f>IF(OR(B1014="",C1014=""),"",E1014-B1014)</f>
        <v/>
      </c>
      <c r="G1014" s="21">
        <f>IF(OR(B1014="",B1014=0),"",F1014/B1014)</f>
        <v/>
      </c>
      <c r="H1014" s="13" t="n"/>
    </row>
    <row r="1015" ht="19.5" customHeight="1" s="49">
      <c r="A1015" s="6" t="n"/>
      <c r="B1015" s="24" t="n"/>
      <c r="C1015" s="29" t="n"/>
      <c r="D1015" s="7">
        <f>IF(C1015="","",C1015*$B$1)</f>
        <v/>
      </c>
      <c r="E1015" s="8">
        <f>IF(C1015="","",C1015-D1015)</f>
        <v/>
      </c>
      <c r="F1015" s="18">
        <f>IF(OR(B1015="",C1015=""),"",E1015-B1015)</f>
        <v/>
      </c>
      <c r="G1015" s="20">
        <f>IF(OR(B1015="",B1015=0),"",F1015/B1015)</f>
        <v/>
      </c>
      <c r="H1015" s="9" t="n"/>
    </row>
    <row r="1016" ht="19.5" customHeight="1" s="49">
      <c r="A1016" s="10" t="n"/>
      <c r="B1016" s="25" t="n"/>
      <c r="C1016" s="30" t="n"/>
      <c r="D1016" s="11">
        <f>IF(C1016="","",C1016*$B$1)</f>
        <v/>
      </c>
      <c r="E1016" s="12">
        <f>IF(C1016="","",C1016-D1016)</f>
        <v/>
      </c>
      <c r="F1016" s="19">
        <f>IF(OR(B1016="",C1016=""),"",E1016-B1016)</f>
        <v/>
      </c>
      <c r="G1016" s="21">
        <f>IF(OR(B1016="",B1016=0),"",F1016/B1016)</f>
        <v/>
      </c>
      <c r="H1016" s="13" t="n"/>
    </row>
    <row r="1017" ht="19.5" customHeight="1" s="49">
      <c r="A1017" s="6" t="n"/>
      <c r="B1017" s="24" t="n"/>
      <c r="C1017" s="29" t="n"/>
      <c r="D1017" s="7">
        <f>IF(C1017="","",C1017*$B$1)</f>
        <v/>
      </c>
      <c r="E1017" s="8">
        <f>IF(C1017="","",C1017-D1017)</f>
        <v/>
      </c>
      <c r="F1017" s="18">
        <f>IF(OR(B1017="",C1017=""),"",E1017-B1017)</f>
        <v/>
      </c>
      <c r="G1017" s="20">
        <f>IF(OR(B1017="",B1017=0),"",F1017/B1017)</f>
        <v/>
      </c>
      <c r="H1017" s="9" t="n"/>
    </row>
    <row r="1018" ht="19.5" customHeight="1" s="49">
      <c r="A1018" s="10" t="n"/>
      <c r="B1018" s="25" t="n"/>
      <c r="C1018" s="30" t="n"/>
      <c r="D1018" s="11">
        <f>IF(C1018="","",C1018*$B$1)</f>
        <v/>
      </c>
      <c r="E1018" s="12">
        <f>IF(C1018="","",C1018-D1018)</f>
        <v/>
      </c>
      <c r="F1018" s="19">
        <f>IF(OR(B1018="",C1018=""),"",E1018-B1018)</f>
        <v/>
      </c>
      <c r="G1018" s="21">
        <f>IF(OR(B1018="",B1018=0),"",F1018/B1018)</f>
        <v/>
      </c>
      <c r="H1018" s="13" t="n"/>
    </row>
    <row r="1019" ht="19.5" customHeight="1" s="49">
      <c r="A1019" s="6" t="n"/>
      <c r="B1019" s="24" t="n"/>
      <c r="C1019" s="29" t="n"/>
      <c r="D1019" s="7">
        <f>IF(C1019="","",C1019*$B$1)</f>
        <v/>
      </c>
      <c r="E1019" s="8">
        <f>IF(C1019="","",C1019-D1019)</f>
        <v/>
      </c>
      <c r="F1019" s="18">
        <f>IF(OR(B1019="",C1019=""),"",E1019-B1019)</f>
        <v/>
      </c>
      <c r="G1019" s="20">
        <f>IF(OR(B1019="",B1019=0),"",F1019/B1019)</f>
        <v/>
      </c>
      <c r="H1019" s="9" t="n"/>
    </row>
    <row r="1020" ht="19.5" customHeight="1" s="49">
      <c r="A1020" s="10" t="n"/>
      <c r="B1020" s="25" t="n"/>
      <c r="C1020" s="30" t="n"/>
      <c r="D1020" s="11">
        <f>IF(C1020="","",C1020*$B$1)</f>
        <v/>
      </c>
      <c r="E1020" s="12">
        <f>IF(C1020="","",C1020-D1020)</f>
        <v/>
      </c>
      <c r="F1020" s="19">
        <f>IF(OR(B1020="",C1020=""),"",E1020-B1020)</f>
        <v/>
      </c>
      <c r="G1020" s="21">
        <f>IF(OR(B1020="",B1020=0),"",F1020/B1020)</f>
        <v/>
      </c>
      <c r="H1020" s="13" t="n"/>
    </row>
    <row r="1021" ht="19.5" customHeight="1" s="49">
      <c r="A1021" s="6" t="n"/>
      <c r="B1021" s="24" t="n"/>
      <c r="C1021" s="29" t="n"/>
      <c r="D1021" s="7">
        <f>IF(C1021="","",C1021*$B$1)</f>
        <v/>
      </c>
      <c r="E1021" s="8">
        <f>IF(C1021="","",C1021-D1021)</f>
        <v/>
      </c>
      <c r="F1021" s="18">
        <f>IF(OR(B1021="",C1021=""),"",E1021-B1021)</f>
        <v/>
      </c>
      <c r="G1021" s="20">
        <f>IF(OR(B1021="",B1021=0),"",F1021/B1021)</f>
        <v/>
      </c>
      <c r="H1021" s="9" t="n"/>
    </row>
    <row r="1022" ht="19.5" customHeight="1" s="49">
      <c r="A1022" s="10" t="n"/>
      <c r="B1022" s="25" t="n"/>
      <c r="C1022" s="30" t="n"/>
      <c r="D1022" s="11">
        <f>IF(C1022="","",C1022*$B$1)</f>
        <v/>
      </c>
      <c r="E1022" s="12">
        <f>IF(C1022="","",C1022-D1022)</f>
        <v/>
      </c>
      <c r="F1022" s="19">
        <f>IF(OR(B1022="",C1022=""),"",E1022-B1022)</f>
        <v/>
      </c>
      <c r="G1022" s="21">
        <f>IF(OR(B1022="",B1022=0),"",F1022/B1022)</f>
        <v/>
      </c>
      <c r="H1022" s="13" t="n"/>
    </row>
    <row r="1023" ht="19.5" customHeight="1" s="49">
      <c r="A1023" s="6" t="n"/>
      <c r="B1023" s="24" t="n"/>
      <c r="C1023" s="29" t="n"/>
      <c r="D1023" s="7">
        <f>IF(C1023="","",C1023*$B$1)</f>
        <v/>
      </c>
      <c r="E1023" s="8">
        <f>IF(C1023="","",C1023-D1023)</f>
        <v/>
      </c>
      <c r="F1023" s="18">
        <f>IF(OR(B1023="",C1023=""),"",E1023-B1023)</f>
        <v/>
      </c>
      <c r="G1023" s="20">
        <f>IF(OR(B1023="",B1023=0),"",F1023/B1023)</f>
        <v/>
      </c>
      <c r="H1023" s="9" t="n"/>
    </row>
    <row r="1024" ht="19.5" customHeight="1" s="49">
      <c r="A1024" s="10" t="n"/>
      <c r="B1024" s="25" t="n"/>
      <c r="C1024" s="30" t="n"/>
      <c r="D1024" s="11">
        <f>IF(C1024="","",C1024*$B$1)</f>
        <v/>
      </c>
      <c r="E1024" s="12">
        <f>IF(C1024="","",C1024-D1024)</f>
        <v/>
      </c>
      <c r="F1024" s="19">
        <f>IF(OR(B1024="",C1024=""),"",E1024-B1024)</f>
        <v/>
      </c>
      <c r="G1024" s="21">
        <f>IF(OR(B1024="",B1024=0),"",F1024/B1024)</f>
        <v/>
      </c>
      <c r="H1024" s="13" t="n"/>
    </row>
    <row r="1025" ht="19.5" customHeight="1" s="49">
      <c r="A1025" s="6" t="n"/>
      <c r="B1025" s="24" t="n"/>
      <c r="C1025" s="29" t="n"/>
      <c r="D1025" s="7">
        <f>IF(C1025="","",C1025*$B$1)</f>
        <v/>
      </c>
      <c r="E1025" s="8">
        <f>IF(C1025="","",C1025-D1025)</f>
        <v/>
      </c>
      <c r="F1025" s="18">
        <f>IF(OR(B1025="",C1025=""),"",E1025-B1025)</f>
        <v/>
      </c>
      <c r="G1025" s="20">
        <f>IF(OR(B1025="",B1025=0),"",F1025/B1025)</f>
        <v/>
      </c>
      <c r="H1025" s="9" t="n"/>
    </row>
    <row r="1026" ht="19.5" customHeight="1" s="49">
      <c r="A1026" s="10" t="n"/>
      <c r="B1026" s="25" t="n"/>
      <c r="C1026" s="30" t="n"/>
      <c r="D1026" s="11">
        <f>IF(C1026="","",C1026*$B$1)</f>
        <v/>
      </c>
      <c r="E1026" s="12">
        <f>IF(C1026="","",C1026-D1026)</f>
        <v/>
      </c>
      <c r="F1026" s="19">
        <f>IF(OR(B1026="",C1026=""),"",E1026-B1026)</f>
        <v/>
      </c>
      <c r="G1026" s="21">
        <f>IF(OR(B1026="",B1026=0),"",F1026/B1026)</f>
        <v/>
      </c>
      <c r="H1026" s="13" t="n"/>
    </row>
    <row r="1027" ht="19.5" customHeight="1" s="49">
      <c r="A1027" s="6" t="n"/>
      <c r="B1027" s="24" t="n"/>
      <c r="C1027" s="29" t="n"/>
      <c r="D1027" s="7">
        <f>IF(C1027="","",C1027*$B$1)</f>
        <v/>
      </c>
      <c r="E1027" s="8">
        <f>IF(C1027="","",C1027-D1027)</f>
        <v/>
      </c>
      <c r="F1027" s="18">
        <f>IF(OR(B1027="",C1027=""),"",E1027-B1027)</f>
        <v/>
      </c>
      <c r="G1027" s="20">
        <f>IF(OR(B1027="",B1027=0),"",F1027/B1027)</f>
        <v/>
      </c>
      <c r="H1027" s="9" t="n"/>
    </row>
    <row r="1028" ht="19.5" customHeight="1" s="49">
      <c r="A1028" s="10" t="n"/>
      <c r="B1028" s="25" t="n"/>
      <c r="C1028" s="30" t="n"/>
      <c r="D1028" s="11">
        <f>IF(C1028="","",C1028*$B$1)</f>
        <v/>
      </c>
      <c r="E1028" s="12">
        <f>IF(C1028="","",C1028-D1028)</f>
        <v/>
      </c>
      <c r="F1028" s="19">
        <f>IF(OR(B1028="",C1028=""),"",E1028-B1028)</f>
        <v/>
      </c>
      <c r="G1028" s="21">
        <f>IF(OR(B1028="",B1028=0),"",F1028/B1028)</f>
        <v/>
      </c>
      <c r="H1028" s="13" t="n"/>
    </row>
    <row r="1029" ht="19.5" customHeight="1" s="49">
      <c r="A1029" s="6" t="n"/>
      <c r="B1029" s="24" t="n"/>
      <c r="C1029" s="29" t="n"/>
      <c r="D1029" s="7">
        <f>IF(C1029="","",C1029*$B$1)</f>
        <v/>
      </c>
      <c r="E1029" s="8">
        <f>IF(C1029="","",C1029-D1029)</f>
        <v/>
      </c>
      <c r="F1029" s="18">
        <f>IF(OR(B1029="",C1029=""),"",E1029-B1029)</f>
        <v/>
      </c>
      <c r="G1029" s="20">
        <f>IF(OR(B1029="",B1029=0),"",F1029/B1029)</f>
        <v/>
      </c>
      <c r="H1029" s="9" t="n"/>
    </row>
    <row r="1030" ht="19.5" customHeight="1" s="49">
      <c r="A1030" s="10" t="n"/>
      <c r="B1030" s="25" t="n"/>
      <c r="C1030" s="30" t="n"/>
      <c r="D1030" s="11">
        <f>IF(C1030="","",C1030*$B$1)</f>
        <v/>
      </c>
      <c r="E1030" s="12">
        <f>IF(C1030="","",C1030-D1030)</f>
        <v/>
      </c>
      <c r="F1030" s="19">
        <f>IF(OR(B1030="",C1030=""),"",E1030-B1030)</f>
        <v/>
      </c>
      <c r="G1030" s="21">
        <f>IF(OR(B1030="",B1030=0),"",F1030/B1030)</f>
        <v/>
      </c>
      <c r="H1030" s="13" t="n"/>
    </row>
    <row r="1031" ht="19.5" customHeight="1" s="49">
      <c r="A1031" s="6" t="n"/>
      <c r="B1031" s="24" t="n"/>
      <c r="C1031" s="29" t="n"/>
      <c r="D1031" s="7">
        <f>IF(C1031="","",C1031*$B$1)</f>
        <v/>
      </c>
      <c r="E1031" s="8">
        <f>IF(C1031="","",C1031-D1031)</f>
        <v/>
      </c>
      <c r="F1031" s="18">
        <f>IF(OR(B1031="",C1031=""),"",E1031-B1031)</f>
        <v/>
      </c>
      <c r="G1031" s="20">
        <f>IF(OR(B1031="",B1031=0),"",F1031/B1031)</f>
        <v/>
      </c>
      <c r="H1031" s="9" t="n"/>
    </row>
    <row r="1032" ht="19.5" customHeight="1" s="49">
      <c r="A1032" s="10" t="n"/>
      <c r="B1032" s="25" t="n"/>
      <c r="C1032" s="30" t="n"/>
      <c r="D1032" s="11">
        <f>IF(C1032="","",C1032*$B$1)</f>
        <v/>
      </c>
      <c r="E1032" s="12">
        <f>IF(C1032="","",C1032-D1032)</f>
        <v/>
      </c>
      <c r="F1032" s="19">
        <f>IF(OR(B1032="",C1032=""),"",E1032-B1032)</f>
        <v/>
      </c>
      <c r="G1032" s="21">
        <f>IF(OR(B1032="",B1032=0),"",F1032/B1032)</f>
        <v/>
      </c>
      <c r="H1032" s="13" t="n"/>
    </row>
    <row r="1033" ht="19.5" customHeight="1" s="49">
      <c r="A1033" s="6" t="n"/>
      <c r="B1033" s="24" t="n"/>
      <c r="C1033" s="29" t="n"/>
      <c r="D1033" s="7">
        <f>IF(C1033="","",C1033*$B$1)</f>
        <v/>
      </c>
      <c r="E1033" s="8">
        <f>IF(C1033="","",C1033-D1033)</f>
        <v/>
      </c>
      <c r="F1033" s="18">
        <f>IF(OR(B1033="",C1033=""),"",E1033-B1033)</f>
        <v/>
      </c>
      <c r="G1033" s="20">
        <f>IF(OR(B1033="",B1033=0),"",F1033/B1033)</f>
        <v/>
      </c>
      <c r="H1033" s="9" t="n"/>
    </row>
    <row r="1034" ht="19.5" customHeight="1" s="49">
      <c r="A1034" s="10" t="n"/>
      <c r="B1034" s="25" t="n"/>
      <c r="C1034" s="30" t="n"/>
      <c r="D1034" s="11">
        <f>IF(C1034="","",C1034*$B$1)</f>
        <v/>
      </c>
      <c r="E1034" s="12">
        <f>IF(C1034="","",C1034-D1034)</f>
        <v/>
      </c>
      <c r="F1034" s="19">
        <f>IF(OR(B1034="",C1034=""),"",E1034-B1034)</f>
        <v/>
      </c>
      <c r="G1034" s="21">
        <f>IF(OR(B1034="",B1034=0),"",F1034/B1034)</f>
        <v/>
      </c>
      <c r="H1034" s="13" t="n"/>
    </row>
    <row r="1035" ht="19.5" customHeight="1" s="49">
      <c r="A1035" s="6" t="n"/>
      <c r="B1035" s="24" t="n"/>
      <c r="C1035" s="29" t="n"/>
      <c r="D1035" s="7">
        <f>IF(C1035="","",C1035*$B$1)</f>
        <v/>
      </c>
      <c r="E1035" s="8">
        <f>IF(C1035="","",C1035-D1035)</f>
        <v/>
      </c>
      <c r="F1035" s="18">
        <f>IF(OR(B1035="",C1035=""),"",E1035-B1035)</f>
        <v/>
      </c>
      <c r="G1035" s="20">
        <f>IF(OR(B1035="",B1035=0),"",F1035/B1035)</f>
        <v/>
      </c>
      <c r="H1035" s="9" t="n"/>
    </row>
    <row r="1036" ht="19.5" customHeight="1" s="49">
      <c r="A1036" s="10" t="n"/>
      <c r="B1036" s="25" t="n"/>
      <c r="C1036" s="30" t="n"/>
      <c r="D1036" s="11">
        <f>IF(C1036="","",C1036*$B$1)</f>
        <v/>
      </c>
      <c r="E1036" s="12">
        <f>IF(C1036="","",C1036-D1036)</f>
        <v/>
      </c>
      <c r="F1036" s="19">
        <f>IF(OR(B1036="",C1036=""),"",E1036-B1036)</f>
        <v/>
      </c>
      <c r="G1036" s="21">
        <f>IF(OR(B1036="",B1036=0),"",F1036/B1036)</f>
        <v/>
      </c>
      <c r="H1036" s="13" t="n"/>
    </row>
    <row r="1037" ht="19.5" customHeight="1" s="49">
      <c r="A1037" s="6" t="n"/>
      <c r="B1037" s="24" t="n"/>
      <c r="C1037" s="29" t="n"/>
      <c r="D1037" s="7">
        <f>IF(C1037="","",C1037*$B$1)</f>
        <v/>
      </c>
      <c r="E1037" s="8">
        <f>IF(C1037="","",C1037-D1037)</f>
        <v/>
      </c>
      <c r="F1037" s="18">
        <f>IF(OR(B1037="",C1037=""),"",E1037-B1037)</f>
        <v/>
      </c>
      <c r="G1037" s="20">
        <f>IF(OR(B1037="",B1037=0),"",F1037/B1037)</f>
        <v/>
      </c>
      <c r="H1037" s="9" t="n"/>
    </row>
    <row r="1038" ht="19.5" customHeight="1" s="49">
      <c r="A1038" s="10" t="n"/>
      <c r="B1038" s="25" t="n"/>
      <c r="C1038" s="30" t="n"/>
      <c r="D1038" s="11">
        <f>IF(C1038="","",C1038*$B$1)</f>
        <v/>
      </c>
      <c r="E1038" s="12">
        <f>IF(C1038="","",C1038-D1038)</f>
        <v/>
      </c>
      <c r="F1038" s="19">
        <f>IF(OR(B1038="",C1038=""),"",E1038-B1038)</f>
        <v/>
      </c>
      <c r="G1038" s="21">
        <f>IF(OR(B1038="",B1038=0),"",F1038/B1038)</f>
        <v/>
      </c>
      <c r="H1038" s="13" t="n"/>
    </row>
    <row r="1039" ht="19.5" customHeight="1" s="49">
      <c r="A1039" s="6" t="n"/>
      <c r="B1039" s="24" t="n"/>
      <c r="C1039" s="29" t="n"/>
      <c r="D1039" s="7">
        <f>IF(C1039="","",C1039*$B$1)</f>
        <v/>
      </c>
      <c r="E1039" s="8">
        <f>IF(C1039="","",C1039-D1039)</f>
        <v/>
      </c>
      <c r="F1039" s="18">
        <f>IF(OR(B1039="",C1039=""),"",E1039-B1039)</f>
        <v/>
      </c>
      <c r="G1039" s="20">
        <f>IF(OR(B1039="",B1039=0),"",F1039/B1039)</f>
        <v/>
      </c>
      <c r="H1039" s="9" t="n"/>
    </row>
    <row r="1040" ht="19.5" customHeight="1" s="49">
      <c r="A1040" s="10" t="n"/>
      <c r="B1040" s="25" t="n"/>
      <c r="C1040" s="30" t="n"/>
      <c r="D1040" s="11">
        <f>IF(C1040="","",C1040*$B$1)</f>
        <v/>
      </c>
      <c r="E1040" s="12">
        <f>IF(C1040="","",C1040-D1040)</f>
        <v/>
      </c>
      <c r="F1040" s="19">
        <f>IF(OR(B1040="",C1040=""),"",E1040-B1040)</f>
        <v/>
      </c>
      <c r="G1040" s="21">
        <f>IF(OR(B1040="",B1040=0),"",F1040/B1040)</f>
        <v/>
      </c>
      <c r="H1040" s="13" t="n"/>
    </row>
    <row r="1041" ht="19.5" customHeight="1" s="49">
      <c r="A1041" s="6" t="n"/>
      <c r="B1041" s="24" t="n"/>
      <c r="C1041" s="29" t="n"/>
      <c r="D1041" s="7">
        <f>IF(C1041="","",C1041*$B$1)</f>
        <v/>
      </c>
      <c r="E1041" s="8">
        <f>IF(C1041="","",C1041-D1041)</f>
        <v/>
      </c>
      <c r="F1041" s="18">
        <f>IF(OR(B1041="",C1041=""),"",E1041-B1041)</f>
        <v/>
      </c>
      <c r="G1041" s="20">
        <f>IF(OR(B1041="",B1041=0),"",F1041/B1041)</f>
        <v/>
      </c>
      <c r="H1041" s="9" t="n"/>
    </row>
    <row r="1042" ht="19.5" customHeight="1" s="49">
      <c r="A1042" s="10" t="n"/>
      <c r="B1042" s="25" t="n"/>
      <c r="C1042" s="30" t="n"/>
      <c r="D1042" s="11">
        <f>IF(C1042="","",C1042*$B$1)</f>
        <v/>
      </c>
      <c r="E1042" s="12">
        <f>IF(C1042="","",C1042-D1042)</f>
        <v/>
      </c>
      <c r="F1042" s="19">
        <f>IF(OR(B1042="",C1042=""),"",E1042-B1042)</f>
        <v/>
      </c>
      <c r="G1042" s="21">
        <f>IF(OR(B1042="",B1042=0),"",F1042/B1042)</f>
        <v/>
      </c>
      <c r="H1042" s="13" t="n"/>
    </row>
    <row r="1043" ht="19.5" customHeight="1" s="49">
      <c r="A1043" s="6" t="n"/>
      <c r="B1043" s="24" t="n"/>
      <c r="C1043" s="29" t="n"/>
      <c r="D1043" s="7">
        <f>IF(C1043="","",C1043*$B$1)</f>
        <v/>
      </c>
      <c r="E1043" s="8">
        <f>IF(C1043="","",C1043-D1043)</f>
        <v/>
      </c>
      <c r="F1043" s="18">
        <f>IF(OR(B1043="",C1043=""),"",E1043-B1043)</f>
        <v/>
      </c>
      <c r="G1043" s="20">
        <f>IF(OR(B1043="",B1043=0),"",F1043/B1043)</f>
        <v/>
      </c>
      <c r="H1043" s="9" t="n"/>
    </row>
    <row r="1044" ht="19.5" customHeight="1" s="49">
      <c r="A1044" s="10" t="n"/>
      <c r="B1044" s="25" t="n"/>
      <c r="C1044" s="30" t="n"/>
      <c r="D1044" s="11">
        <f>IF(C1044="","",C1044*$B$1)</f>
        <v/>
      </c>
      <c r="E1044" s="12">
        <f>IF(C1044="","",C1044-D1044)</f>
        <v/>
      </c>
      <c r="F1044" s="19">
        <f>IF(OR(B1044="",C1044=""),"",E1044-B1044)</f>
        <v/>
      </c>
      <c r="G1044" s="21">
        <f>IF(OR(B1044="",B1044=0),"",F1044/B1044)</f>
        <v/>
      </c>
      <c r="H1044" s="13" t="n"/>
    </row>
    <row r="1045" ht="19.5" customHeight="1" s="49">
      <c r="A1045" s="6" t="n"/>
      <c r="B1045" s="24" t="n"/>
      <c r="C1045" s="29" t="n"/>
      <c r="D1045" s="7">
        <f>IF(C1045="","",C1045*$B$1)</f>
        <v/>
      </c>
      <c r="E1045" s="8">
        <f>IF(C1045="","",C1045-D1045)</f>
        <v/>
      </c>
      <c r="F1045" s="18">
        <f>IF(OR(B1045="",C1045=""),"",E1045-B1045)</f>
        <v/>
      </c>
      <c r="G1045" s="20">
        <f>IF(OR(B1045="",B1045=0),"",F1045/B1045)</f>
        <v/>
      </c>
      <c r="H1045" s="9" t="n"/>
    </row>
    <row r="1046" ht="19.5" customHeight="1" s="49">
      <c r="A1046" s="10" t="n"/>
      <c r="B1046" s="25" t="n"/>
      <c r="C1046" s="30" t="n"/>
      <c r="D1046" s="11">
        <f>IF(C1046="","",C1046*$B$1)</f>
        <v/>
      </c>
      <c r="E1046" s="12">
        <f>IF(C1046="","",C1046-D1046)</f>
        <v/>
      </c>
      <c r="F1046" s="19">
        <f>IF(OR(B1046="",C1046=""),"",E1046-B1046)</f>
        <v/>
      </c>
      <c r="G1046" s="21">
        <f>IF(OR(B1046="",B1046=0),"",F1046/B1046)</f>
        <v/>
      </c>
      <c r="H1046" s="13" t="n"/>
    </row>
    <row r="1047" ht="19.5" customHeight="1" s="49">
      <c r="A1047" s="6" t="n"/>
      <c r="B1047" s="24" t="n"/>
      <c r="C1047" s="29" t="n"/>
      <c r="D1047" s="7">
        <f>IF(C1047="","",C1047*$B$1)</f>
        <v/>
      </c>
      <c r="E1047" s="8">
        <f>IF(C1047="","",C1047-D1047)</f>
        <v/>
      </c>
      <c r="F1047" s="18">
        <f>IF(OR(B1047="",C1047=""),"",E1047-B1047)</f>
        <v/>
      </c>
      <c r="G1047" s="20">
        <f>IF(OR(B1047="",B1047=0),"",F1047/B1047)</f>
        <v/>
      </c>
      <c r="H1047" s="9" t="n"/>
    </row>
    <row r="1048" ht="19.5" customHeight="1" s="49">
      <c r="A1048" s="10" t="n"/>
      <c r="B1048" s="25" t="n"/>
      <c r="C1048" s="30" t="n"/>
      <c r="D1048" s="11">
        <f>IF(C1048="","",C1048*$B$1)</f>
        <v/>
      </c>
      <c r="E1048" s="12">
        <f>IF(C1048="","",C1048-D1048)</f>
        <v/>
      </c>
      <c r="F1048" s="19">
        <f>IF(OR(B1048="",C1048=""),"",E1048-B1048)</f>
        <v/>
      </c>
      <c r="G1048" s="21">
        <f>IF(OR(B1048="",B1048=0),"",F1048/B1048)</f>
        <v/>
      </c>
      <c r="H1048" s="13" t="n"/>
    </row>
    <row r="1049" ht="19.5" customHeight="1" s="49">
      <c r="A1049" s="6" t="n"/>
      <c r="B1049" s="24" t="n"/>
      <c r="C1049" s="29" t="n"/>
      <c r="D1049" s="7">
        <f>IF(C1049="","",C1049*$B$1)</f>
        <v/>
      </c>
      <c r="E1049" s="8">
        <f>IF(C1049="","",C1049-D1049)</f>
        <v/>
      </c>
      <c r="F1049" s="18">
        <f>IF(OR(B1049="",C1049=""),"",E1049-B1049)</f>
        <v/>
      </c>
      <c r="G1049" s="20">
        <f>IF(OR(B1049="",B1049=0),"",F1049/B1049)</f>
        <v/>
      </c>
      <c r="H1049" s="9" t="n"/>
    </row>
    <row r="1050" ht="19.5" customHeight="1" s="49">
      <c r="A1050" s="10" t="n"/>
      <c r="B1050" s="25" t="n"/>
      <c r="C1050" s="30" t="n"/>
      <c r="D1050" s="11">
        <f>IF(C1050="","",C1050*$B$1)</f>
        <v/>
      </c>
      <c r="E1050" s="12">
        <f>IF(C1050="","",C1050-D1050)</f>
        <v/>
      </c>
      <c r="F1050" s="19">
        <f>IF(OR(B1050="",C1050=""),"",E1050-B1050)</f>
        <v/>
      </c>
      <c r="G1050" s="21">
        <f>IF(OR(B1050="",B1050=0),"",F1050/B1050)</f>
        <v/>
      </c>
      <c r="H1050" s="13" t="n"/>
    </row>
    <row r="1051" ht="19.5" customHeight="1" s="49">
      <c r="A1051" s="6" t="n"/>
      <c r="B1051" s="24" t="n"/>
      <c r="C1051" s="29" t="n"/>
      <c r="D1051" s="7">
        <f>IF(C1051="","",C1051*$B$1)</f>
        <v/>
      </c>
      <c r="E1051" s="8">
        <f>IF(C1051="","",C1051-D1051)</f>
        <v/>
      </c>
      <c r="F1051" s="18">
        <f>IF(OR(B1051="",C1051=""),"",E1051-B1051)</f>
        <v/>
      </c>
      <c r="G1051" s="20">
        <f>IF(OR(B1051="",B1051=0),"",F1051/B1051)</f>
        <v/>
      </c>
      <c r="H1051" s="9" t="n"/>
    </row>
    <row r="1052" ht="19.5" customHeight="1" s="49">
      <c r="A1052" s="10" t="n"/>
      <c r="B1052" s="25" t="n"/>
      <c r="C1052" s="30" t="n"/>
      <c r="D1052" s="11">
        <f>IF(C1052="","",C1052*$B$1)</f>
        <v/>
      </c>
      <c r="E1052" s="12">
        <f>IF(C1052="","",C1052-D1052)</f>
        <v/>
      </c>
      <c r="F1052" s="19">
        <f>IF(OR(B1052="",C1052=""),"",E1052-B1052)</f>
        <v/>
      </c>
      <c r="G1052" s="21">
        <f>IF(OR(B1052="",B1052=0),"",F1052/B1052)</f>
        <v/>
      </c>
      <c r="H1052" s="13" t="n"/>
    </row>
    <row r="1053" ht="19.5" customHeight="1" s="49">
      <c r="A1053" s="6" t="n"/>
      <c r="B1053" s="24" t="n"/>
      <c r="C1053" s="29" t="n"/>
      <c r="D1053" s="7">
        <f>IF(C1053="","",C1053*$B$1)</f>
        <v/>
      </c>
      <c r="E1053" s="8">
        <f>IF(C1053="","",C1053-D1053)</f>
        <v/>
      </c>
      <c r="F1053" s="18">
        <f>IF(OR(B1053="",C1053=""),"",E1053-B1053)</f>
        <v/>
      </c>
      <c r="G1053" s="20">
        <f>IF(OR(B1053="",B1053=0),"",F1053/B1053)</f>
        <v/>
      </c>
      <c r="H1053" s="9" t="n"/>
    </row>
    <row r="1054" ht="19.5" customHeight="1" s="49">
      <c r="A1054" s="10" t="n"/>
      <c r="B1054" s="25" t="n"/>
      <c r="C1054" s="30" t="n"/>
      <c r="D1054" s="11">
        <f>IF(C1054="","",C1054*$B$1)</f>
        <v/>
      </c>
      <c r="E1054" s="12">
        <f>IF(C1054="","",C1054-D1054)</f>
        <v/>
      </c>
      <c r="F1054" s="19">
        <f>IF(OR(B1054="",C1054=""),"",E1054-B1054)</f>
        <v/>
      </c>
      <c r="G1054" s="21">
        <f>IF(OR(B1054="",B1054=0),"",F1054/B1054)</f>
        <v/>
      </c>
      <c r="H1054" s="13" t="n"/>
    </row>
    <row r="1055" ht="19.5" customHeight="1" s="49">
      <c r="A1055" s="6" t="n"/>
      <c r="B1055" s="24" t="n"/>
      <c r="C1055" s="29" t="n"/>
      <c r="D1055" s="7">
        <f>IF(C1055="","",C1055*$B$1)</f>
        <v/>
      </c>
      <c r="E1055" s="8">
        <f>IF(C1055="","",C1055-D1055)</f>
        <v/>
      </c>
      <c r="F1055" s="18">
        <f>IF(OR(B1055="",C1055=""),"",E1055-B1055)</f>
        <v/>
      </c>
      <c r="G1055" s="20">
        <f>IF(OR(B1055="",B1055=0),"",F1055/B1055)</f>
        <v/>
      </c>
      <c r="H1055" s="9" t="n"/>
    </row>
    <row r="1056" ht="19.5" customHeight="1" s="49">
      <c r="A1056" s="10" t="n"/>
      <c r="B1056" s="25" t="n"/>
      <c r="C1056" s="30" t="n"/>
      <c r="D1056" s="11">
        <f>IF(C1056="","",C1056*$B$1)</f>
        <v/>
      </c>
      <c r="E1056" s="12">
        <f>IF(C1056="","",C1056-D1056)</f>
        <v/>
      </c>
      <c r="F1056" s="19">
        <f>IF(OR(B1056="",C1056=""),"",E1056-B1056)</f>
        <v/>
      </c>
      <c r="G1056" s="21">
        <f>IF(OR(B1056="",B1056=0),"",F1056/B1056)</f>
        <v/>
      </c>
      <c r="H1056" s="13" t="n"/>
    </row>
    <row r="1057" ht="19.5" customHeight="1" s="49">
      <c r="A1057" s="6" t="n"/>
      <c r="B1057" s="24" t="n"/>
      <c r="C1057" s="29" t="n"/>
      <c r="D1057" s="7">
        <f>IF(C1057="","",C1057*$B$1)</f>
        <v/>
      </c>
      <c r="E1057" s="8">
        <f>IF(C1057="","",C1057-D1057)</f>
        <v/>
      </c>
      <c r="F1057" s="18">
        <f>IF(OR(B1057="",C1057=""),"",E1057-B1057)</f>
        <v/>
      </c>
      <c r="G1057" s="20">
        <f>IF(OR(B1057="",B1057=0),"",F1057/B1057)</f>
        <v/>
      </c>
      <c r="H1057" s="9" t="n"/>
    </row>
    <row r="1058" ht="19.5" customHeight="1" s="49">
      <c r="A1058" s="10" t="n"/>
      <c r="B1058" s="25" t="n"/>
      <c r="C1058" s="30" t="n"/>
      <c r="D1058" s="11">
        <f>IF(C1058="","",C1058*$B$1)</f>
        <v/>
      </c>
      <c r="E1058" s="12">
        <f>IF(C1058="","",C1058-D1058)</f>
        <v/>
      </c>
      <c r="F1058" s="19">
        <f>IF(OR(B1058="",C1058=""),"",E1058-B1058)</f>
        <v/>
      </c>
      <c r="G1058" s="21">
        <f>IF(OR(B1058="",B1058=0),"",F1058/B1058)</f>
        <v/>
      </c>
      <c r="H1058" s="13" t="n"/>
    </row>
    <row r="1059" ht="19.5" customHeight="1" s="49">
      <c r="A1059" s="6" t="n"/>
      <c r="B1059" s="24" t="n"/>
      <c r="C1059" s="29" t="n"/>
      <c r="D1059" s="7">
        <f>IF(C1059="","",C1059*$B$1)</f>
        <v/>
      </c>
      <c r="E1059" s="8">
        <f>IF(C1059="","",C1059-D1059)</f>
        <v/>
      </c>
      <c r="F1059" s="18">
        <f>IF(OR(B1059="",C1059=""),"",E1059-B1059)</f>
        <v/>
      </c>
      <c r="G1059" s="20">
        <f>IF(OR(B1059="",B1059=0),"",F1059/B1059)</f>
        <v/>
      </c>
      <c r="H1059" s="9" t="n"/>
    </row>
    <row r="1060" ht="19.5" customHeight="1" s="49">
      <c r="A1060" s="10" t="n"/>
      <c r="B1060" s="25" t="n"/>
      <c r="C1060" s="30" t="n"/>
      <c r="D1060" s="11">
        <f>IF(C1060="","",C1060*$B$1)</f>
        <v/>
      </c>
      <c r="E1060" s="12">
        <f>IF(C1060="","",C1060-D1060)</f>
        <v/>
      </c>
      <c r="F1060" s="19">
        <f>IF(OR(B1060="",C1060=""),"",E1060-B1060)</f>
        <v/>
      </c>
      <c r="G1060" s="21">
        <f>IF(OR(B1060="",B1060=0),"",F1060/B1060)</f>
        <v/>
      </c>
      <c r="H1060" s="13" t="n"/>
    </row>
    <row r="1061" ht="19.5" customHeight="1" s="49">
      <c r="A1061" s="6" t="n"/>
      <c r="B1061" s="24" t="n"/>
      <c r="C1061" s="29" t="n"/>
      <c r="D1061" s="7">
        <f>IF(C1061="","",C1061*$B$1)</f>
        <v/>
      </c>
      <c r="E1061" s="8">
        <f>IF(C1061="","",C1061-D1061)</f>
        <v/>
      </c>
      <c r="F1061" s="18">
        <f>IF(OR(B1061="",C1061=""),"",E1061-B1061)</f>
        <v/>
      </c>
      <c r="G1061" s="20">
        <f>IF(OR(B1061="",B1061=0),"",F1061/B1061)</f>
        <v/>
      </c>
      <c r="H1061" s="9" t="n"/>
    </row>
    <row r="1062" ht="19.5" customHeight="1" s="49">
      <c r="A1062" s="10" t="n"/>
      <c r="B1062" s="25" t="n"/>
      <c r="C1062" s="30" t="n"/>
      <c r="D1062" s="11">
        <f>IF(C1062="","",C1062*$B$1)</f>
        <v/>
      </c>
      <c r="E1062" s="12">
        <f>IF(C1062="","",C1062-D1062)</f>
        <v/>
      </c>
      <c r="F1062" s="19">
        <f>IF(OR(B1062="",C1062=""),"",E1062-B1062)</f>
        <v/>
      </c>
      <c r="G1062" s="21">
        <f>IF(OR(B1062="",B1062=0),"",F1062/B1062)</f>
        <v/>
      </c>
      <c r="H1062" s="13" t="n"/>
    </row>
    <row r="1063" ht="19.5" customHeight="1" s="49">
      <c r="A1063" s="6" t="n"/>
      <c r="B1063" s="24" t="n"/>
      <c r="C1063" s="29" t="n"/>
      <c r="D1063" s="7">
        <f>IF(C1063="","",C1063*$B$1)</f>
        <v/>
      </c>
      <c r="E1063" s="8">
        <f>IF(C1063="","",C1063-D1063)</f>
        <v/>
      </c>
      <c r="F1063" s="18">
        <f>IF(OR(B1063="",C1063=""),"",E1063-B1063)</f>
        <v/>
      </c>
      <c r="G1063" s="20">
        <f>IF(OR(B1063="",B1063=0),"",F1063/B1063)</f>
        <v/>
      </c>
      <c r="H1063" s="9" t="n"/>
    </row>
    <row r="1064" ht="19.5" customHeight="1" s="49">
      <c r="A1064" s="10" t="n"/>
      <c r="B1064" s="25" t="n"/>
      <c r="C1064" s="30" t="n"/>
      <c r="D1064" s="11">
        <f>IF(C1064="","",C1064*$B$1)</f>
        <v/>
      </c>
      <c r="E1064" s="12">
        <f>IF(C1064="","",C1064-D1064)</f>
        <v/>
      </c>
      <c r="F1064" s="19">
        <f>IF(OR(B1064="",C1064=""),"",E1064-B1064)</f>
        <v/>
      </c>
      <c r="G1064" s="21">
        <f>IF(OR(B1064="",B1064=0),"",F1064/B1064)</f>
        <v/>
      </c>
      <c r="H1064" s="13" t="n"/>
    </row>
    <row r="1065" ht="19.5" customHeight="1" s="49">
      <c r="A1065" s="6" t="n"/>
      <c r="B1065" s="24" t="n"/>
      <c r="C1065" s="29" t="n"/>
      <c r="D1065" s="7">
        <f>IF(C1065="","",C1065*$B$1)</f>
        <v/>
      </c>
      <c r="E1065" s="8">
        <f>IF(C1065="","",C1065-D1065)</f>
        <v/>
      </c>
      <c r="F1065" s="18">
        <f>IF(OR(B1065="",C1065=""),"",E1065-B1065)</f>
        <v/>
      </c>
      <c r="G1065" s="20">
        <f>IF(OR(B1065="",B1065=0),"",F1065/B1065)</f>
        <v/>
      </c>
      <c r="H1065" s="9" t="n"/>
    </row>
    <row r="1066" ht="19.5" customHeight="1" s="49">
      <c r="A1066" s="10" t="n"/>
      <c r="B1066" s="25" t="n"/>
      <c r="C1066" s="30" t="n"/>
      <c r="D1066" s="11">
        <f>IF(C1066="","",C1066*$B$1)</f>
        <v/>
      </c>
      <c r="E1066" s="12">
        <f>IF(C1066="","",C1066-D1066)</f>
        <v/>
      </c>
      <c r="F1066" s="19">
        <f>IF(OR(B1066="",C1066=""),"",E1066-B1066)</f>
        <v/>
      </c>
      <c r="G1066" s="21">
        <f>IF(OR(B1066="",B1066=0),"",F1066/B1066)</f>
        <v/>
      </c>
      <c r="H1066" s="13" t="n"/>
    </row>
    <row r="1067" ht="19.5" customHeight="1" s="49">
      <c r="A1067" s="6" t="n"/>
      <c r="B1067" s="24" t="n"/>
      <c r="C1067" s="29" t="n"/>
      <c r="D1067" s="7">
        <f>IF(C1067="","",C1067*$B$1)</f>
        <v/>
      </c>
      <c r="E1067" s="8">
        <f>IF(C1067="","",C1067-D1067)</f>
        <v/>
      </c>
      <c r="F1067" s="18">
        <f>IF(OR(B1067="",C1067=""),"",E1067-B1067)</f>
        <v/>
      </c>
      <c r="G1067" s="20">
        <f>IF(OR(B1067="",B1067=0),"",F1067/B1067)</f>
        <v/>
      </c>
      <c r="H1067" s="9" t="n"/>
    </row>
    <row r="1068" ht="19.5" customHeight="1" s="49">
      <c r="A1068" s="10" t="n"/>
      <c r="B1068" s="25" t="n"/>
      <c r="C1068" s="30" t="n"/>
      <c r="D1068" s="11">
        <f>IF(C1068="","",C1068*$B$1)</f>
        <v/>
      </c>
      <c r="E1068" s="12">
        <f>IF(C1068="","",C1068-D1068)</f>
        <v/>
      </c>
      <c r="F1068" s="19">
        <f>IF(OR(B1068="",C1068=""),"",E1068-B1068)</f>
        <v/>
      </c>
      <c r="G1068" s="21">
        <f>IF(OR(B1068="",B1068=0),"",F1068/B1068)</f>
        <v/>
      </c>
      <c r="H1068" s="13" t="n"/>
    </row>
    <row r="1069" ht="19.5" customHeight="1" s="49">
      <c r="A1069" s="6" t="n"/>
      <c r="B1069" s="24" t="n"/>
      <c r="C1069" s="29" t="n"/>
      <c r="D1069" s="7">
        <f>IF(C1069="","",C1069*$B$1)</f>
        <v/>
      </c>
      <c r="E1069" s="8">
        <f>IF(C1069="","",C1069-D1069)</f>
        <v/>
      </c>
      <c r="F1069" s="18">
        <f>IF(OR(B1069="",C1069=""),"",E1069-B1069)</f>
        <v/>
      </c>
      <c r="G1069" s="20">
        <f>IF(OR(B1069="",B1069=0),"",F1069/B1069)</f>
        <v/>
      </c>
      <c r="H1069" s="9" t="n"/>
    </row>
    <row r="1070" ht="19.5" customHeight="1" s="49">
      <c r="A1070" s="10" t="n"/>
      <c r="B1070" s="25" t="n"/>
      <c r="C1070" s="30" t="n"/>
      <c r="D1070" s="11">
        <f>IF(C1070="","",C1070*$B$1)</f>
        <v/>
      </c>
      <c r="E1070" s="12">
        <f>IF(C1070="","",C1070-D1070)</f>
        <v/>
      </c>
      <c r="F1070" s="19">
        <f>IF(OR(B1070="",C1070=""),"",E1070-B1070)</f>
        <v/>
      </c>
      <c r="G1070" s="21">
        <f>IF(OR(B1070="",B1070=0),"",F1070/B1070)</f>
        <v/>
      </c>
      <c r="H1070" s="13" t="n"/>
    </row>
    <row r="1071" ht="19.5" customHeight="1" s="49">
      <c r="A1071" s="6" t="n"/>
      <c r="B1071" s="24" t="n"/>
      <c r="C1071" s="29" t="n"/>
      <c r="D1071" s="7">
        <f>IF(C1071="","",C1071*$B$1)</f>
        <v/>
      </c>
      <c r="E1071" s="8">
        <f>IF(C1071="","",C1071-D1071)</f>
        <v/>
      </c>
      <c r="F1071" s="18">
        <f>IF(OR(B1071="",C1071=""),"",E1071-B1071)</f>
        <v/>
      </c>
      <c r="G1071" s="20">
        <f>IF(OR(B1071="",B1071=0),"",F1071/B1071)</f>
        <v/>
      </c>
      <c r="H1071" s="9" t="n"/>
    </row>
    <row r="1072" ht="19.5" customHeight="1" s="49">
      <c r="A1072" s="10" t="n"/>
      <c r="B1072" s="25" t="n"/>
      <c r="C1072" s="30" t="n"/>
      <c r="D1072" s="11">
        <f>IF(C1072="","",C1072*$B$1)</f>
        <v/>
      </c>
      <c r="E1072" s="12">
        <f>IF(C1072="","",C1072-D1072)</f>
        <v/>
      </c>
      <c r="F1072" s="19">
        <f>IF(OR(B1072="",C1072=""),"",E1072-B1072)</f>
        <v/>
      </c>
      <c r="G1072" s="21">
        <f>IF(OR(B1072="",B1072=0),"",F1072/B1072)</f>
        <v/>
      </c>
      <c r="H1072" s="13" t="n"/>
    </row>
    <row r="1073" ht="19.5" customHeight="1" s="49">
      <c r="A1073" s="6" t="n"/>
      <c r="B1073" s="24" t="n"/>
      <c r="C1073" s="29" t="n"/>
      <c r="D1073" s="7">
        <f>IF(C1073="","",C1073*$B$1)</f>
        <v/>
      </c>
      <c r="E1073" s="8">
        <f>IF(C1073="","",C1073-D1073)</f>
        <v/>
      </c>
      <c r="F1073" s="18">
        <f>IF(OR(B1073="",C1073=""),"",E1073-B1073)</f>
        <v/>
      </c>
      <c r="G1073" s="20">
        <f>IF(OR(B1073="",B1073=0),"",F1073/B1073)</f>
        <v/>
      </c>
      <c r="H1073" s="9" t="n"/>
    </row>
    <row r="1074" ht="19.5" customHeight="1" s="49">
      <c r="A1074" s="10" t="n"/>
      <c r="B1074" s="25" t="n"/>
      <c r="C1074" s="30" t="n"/>
      <c r="D1074" s="11">
        <f>IF(C1074="","",C1074*$B$1)</f>
        <v/>
      </c>
      <c r="E1074" s="12">
        <f>IF(C1074="","",C1074-D1074)</f>
        <v/>
      </c>
      <c r="F1074" s="19">
        <f>IF(OR(B1074="",C1074=""),"",E1074-B1074)</f>
        <v/>
      </c>
      <c r="G1074" s="21">
        <f>IF(OR(B1074="",B1074=0),"",F1074/B1074)</f>
        <v/>
      </c>
      <c r="H1074" s="13" t="n"/>
    </row>
    <row r="1075" ht="19.5" customHeight="1" s="49">
      <c r="A1075" s="6" t="n"/>
      <c r="B1075" s="24" t="n"/>
      <c r="C1075" s="29" t="n"/>
      <c r="D1075" s="7">
        <f>IF(C1075="","",C1075*$B$1)</f>
        <v/>
      </c>
      <c r="E1075" s="8">
        <f>IF(C1075="","",C1075-D1075)</f>
        <v/>
      </c>
      <c r="F1075" s="18">
        <f>IF(OR(B1075="",C1075=""),"",E1075-B1075)</f>
        <v/>
      </c>
      <c r="G1075" s="20">
        <f>IF(OR(B1075="",B1075=0),"",F1075/B1075)</f>
        <v/>
      </c>
      <c r="H1075" s="9" t="n"/>
    </row>
    <row r="1076" ht="19.5" customHeight="1" s="49">
      <c r="A1076" s="10" t="n"/>
      <c r="B1076" s="25" t="n"/>
      <c r="C1076" s="30" t="n"/>
      <c r="D1076" s="11">
        <f>IF(C1076="","",C1076*$B$1)</f>
        <v/>
      </c>
      <c r="E1076" s="12">
        <f>IF(C1076="","",C1076-D1076)</f>
        <v/>
      </c>
      <c r="F1076" s="19">
        <f>IF(OR(B1076="",C1076=""),"",E1076-B1076)</f>
        <v/>
      </c>
      <c r="G1076" s="21">
        <f>IF(OR(B1076="",B1076=0),"",F1076/B1076)</f>
        <v/>
      </c>
      <c r="H1076" s="13" t="n"/>
    </row>
    <row r="1077" ht="19.5" customHeight="1" s="49">
      <c r="A1077" s="6" t="n"/>
      <c r="B1077" s="24" t="n"/>
      <c r="C1077" s="29" t="n"/>
      <c r="D1077" s="7">
        <f>IF(C1077="","",C1077*$B$1)</f>
        <v/>
      </c>
      <c r="E1077" s="8">
        <f>IF(C1077="","",C1077-D1077)</f>
        <v/>
      </c>
      <c r="F1077" s="18">
        <f>IF(OR(B1077="",C1077=""),"",E1077-B1077)</f>
        <v/>
      </c>
      <c r="G1077" s="20">
        <f>IF(OR(B1077="",B1077=0),"",F1077/B1077)</f>
        <v/>
      </c>
      <c r="H1077" s="9" t="n"/>
    </row>
    <row r="1078" ht="19.5" customHeight="1" s="49">
      <c r="A1078" s="10" t="n"/>
      <c r="B1078" s="25" t="n"/>
      <c r="C1078" s="30" t="n"/>
      <c r="D1078" s="11">
        <f>IF(C1078="","",C1078*$B$1)</f>
        <v/>
      </c>
      <c r="E1078" s="12">
        <f>IF(C1078="","",C1078-D1078)</f>
        <v/>
      </c>
      <c r="F1078" s="19">
        <f>IF(OR(B1078="",C1078=""),"",E1078-B1078)</f>
        <v/>
      </c>
      <c r="G1078" s="21">
        <f>IF(OR(B1078="",B1078=0),"",F1078/B1078)</f>
        <v/>
      </c>
      <c r="H1078" s="13" t="n"/>
    </row>
    <row r="1079" ht="19.5" customHeight="1" s="49">
      <c r="A1079" s="6" t="n"/>
      <c r="B1079" s="24" t="n"/>
      <c r="C1079" s="29" t="n"/>
      <c r="D1079" s="7">
        <f>IF(C1079="","",C1079*$B$1)</f>
        <v/>
      </c>
      <c r="E1079" s="8">
        <f>IF(C1079="","",C1079-D1079)</f>
        <v/>
      </c>
      <c r="F1079" s="18">
        <f>IF(OR(B1079="",C1079=""),"",E1079-B1079)</f>
        <v/>
      </c>
      <c r="G1079" s="20">
        <f>IF(OR(B1079="",B1079=0),"",F1079/B1079)</f>
        <v/>
      </c>
      <c r="H1079" s="9" t="n"/>
    </row>
    <row r="1080" ht="19.5" customHeight="1" s="49">
      <c r="A1080" s="10" t="n"/>
      <c r="B1080" s="25" t="n"/>
      <c r="C1080" s="30" t="n"/>
      <c r="D1080" s="11">
        <f>IF(C1080="","",C1080*$B$1)</f>
        <v/>
      </c>
      <c r="E1080" s="12">
        <f>IF(C1080="","",C1080-D1080)</f>
        <v/>
      </c>
      <c r="F1080" s="19">
        <f>IF(OR(B1080="",C1080=""),"",E1080-B1080)</f>
        <v/>
      </c>
      <c r="G1080" s="21">
        <f>IF(OR(B1080="",B1080=0),"",F1080/B1080)</f>
        <v/>
      </c>
      <c r="H1080" s="13" t="n"/>
    </row>
    <row r="1081" ht="19.5" customHeight="1" s="49">
      <c r="A1081" s="6" t="n"/>
      <c r="B1081" s="24" t="n"/>
      <c r="C1081" s="29" t="n"/>
      <c r="D1081" s="7">
        <f>IF(C1081="","",C1081*$B$1)</f>
        <v/>
      </c>
      <c r="E1081" s="8">
        <f>IF(C1081="","",C1081-D1081)</f>
        <v/>
      </c>
      <c r="F1081" s="18">
        <f>IF(OR(B1081="",C1081=""),"",E1081-B1081)</f>
        <v/>
      </c>
      <c r="G1081" s="20">
        <f>IF(OR(B1081="",B1081=0),"",F1081/B1081)</f>
        <v/>
      </c>
      <c r="H1081" s="9" t="n"/>
    </row>
    <row r="1082" ht="19.5" customHeight="1" s="49">
      <c r="A1082" s="10" t="n"/>
      <c r="B1082" s="25" t="n"/>
      <c r="C1082" s="30" t="n"/>
      <c r="D1082" s="11">
        <f>IF(C1082="","",C1082*$B$1)</f>
        <v/>
      </c>
      <c r="E1082" s="12">
        <f>IF(C1082="","",C1082-D1082)</f>
        <v/>
      </c>
      <c r="F1082" s="19">
        <f>IF(OR(B1082="",C1082=""),"",E1082-B1082)</f>
        <v/>
      </c>
      <c r="G1082" s="21">
        <f>IF(OR(B1082="",B1082=0),"",F1082/B1082)</f>
        <v/>
      </c>
      <c r="H1082" s="13" t="n"/>
    </row>
    <row r="1083" ht="19.5" customHeight="1" s="49">
      <c r="A1083" s="6" t="n"/>
      <c r="B1083" s="24" t="n"/>
      <c r="C1083" s="29" t="n"/>
      <c r="D1083" s="7">
        <f>IF(C1083="","",C1083*$B$1)</f>
        <v/>
      </c>
      <c r="E1083" s="8">
        <f>IF(C1083="","",C1083-D1083)</f>
        <v/>
      </c>
      <c r="F1083" s="18">
        <f>IF(OR(B1083="",C1083=""),"",E1083-B1083)</f>
        <v/>
      </c>
      <c r="G1083" s="20">
        <f>IF(OR(B1083="",B1083=0),"",F1083/B1083)</f>
        <v/>
      </c>
      <c r="H1083" s="9" t="n"/>
    </row>
    <row r="1084" ht="19.5" customHeight="1" s="49">
      <c r="A1084" s="10" t="n"/>
      <c r="B1084" s="25" t="n"/>
      <c r="C1084" s="30" t="n"/>
      <c r="D1084" s="11">
        <f>IF(C1084="","",C1084*$B$1)</f>
        <v/>
      </c>
      <c r="E1084" s="12">
        <f>IF(C1084="","",C1084-D1084)</f>
        <v/>
      </c>
      <c r="F1084" s="19">
        <f>IF(OR(B1084="",C1084=""),"",E1084-B1084)</f>
        <v/>
      </c>
      <c r="G1084" s="21">
        <f>IF(OR(B1084="",B1084=0),"",F1084/B1084)</f>
        <v/>
      </c>
      <c r="H1084" s="13" t="n"/>
    </row>
    <row r="1085" ht="19.5" customHeight="1" s="49">
      <c r="A1085" s="6" t="n"/>
      <c r="B1085" s="24" t="n"/>
      <c r="C1085" s="29" t="n"/>
      <c r="D1085" s="7">
        <f>IF(C1085="","",C1085*$B$1)</f>
        <v/>
      </c>
      <c r="E1085" s="8">
        <f>IF(C1085="","",C1085-D1085)</f>
        <v/>
      </c>
      <c r="F1085" s="18">
        <f>IF(OR(B1085="",C1085=""),"",E1085-B1085)</f>
        <v/>
      </c>
      <c r="G1085" s="20">
        <f>IF(OR(B1085="",B1085=0),"",F1085/B1085)</f>
        <v/>
      </c>
      <c r="H1085" s="9" t="n"/>
    </row>
    <row r="1086" ht="19.5" customHeight="1" s="49">
      <c r="A1086" s="10" t="n"/>
      <c r="B1086" s="25" t="n"/>
      <c r="C1086" s="30" t="n"/>
      <c r="D1086" s="11">
        <f>IF(C1086="","",C1086*$B$1)</f>
        <v/>
      </c>
      <c r="E1086" s="12">
        <f>IF(C1086="","",C1086-D1086)</f>
        <v/>
      </c>
      <c r="F1086" s="19">
        <f>IF(OR(B1086="",C1086=""),"",E1086-B1086)</f>
        <v/>
      </c>
      <c r="G1086" s="21">
        <f>IF(OR(B1086="",B1086=0),"",F1086/B1086)</f>
        <v/>
      </c>
      <c r="H1086" s="13" t="n"/>
    </row>
    <row r="1087" ht="19.5" customHeight="1" s="49">
      <c r="A1087" s="6" t="n"/>
      <c r="B1087" s="24" t="n"/>
      <c r="C1087" s="29" t="n"/>
      <c r="D1087" s="7">
        <f>IF(C1087="","",C1087*$B$1)</f>
        <v/>
      </c>
      <c r="E1087" s="8">
        <f>IF(C1087="","",C1087-D1087)</f>
        <v/>
      </c>
      <c r="F1087" s="18">
        <f>IF(OR(B1087="",C1087=""),"",E1087-B1087)</f>
        <v/>
      </c>
      <c r="G1087" s="20">
        <f>IF(OR(B1087="",B1087=0),"",F1087/B1087)</f>
        <v/>
      </c>
      <c r="H1087" s="9" t="n"/>
    </row>
    <row r="1088" ht="19.5" customHeight="1" s="49">
      <c r="A1088" s="10" t="n"/>
      <c r="B1088" s="25" t="n"/>
      <c r="C1088" s="30" t="n"/>
      <c r="D1088" s="11">
        <f>IF(C1088="","",C1088*$B$1)</f>
        <v/>
      </c>
      <c r="E1088" s="12">
        <f>IF(C1088="","",C1088-D1088)</f>
        <v/>
      </c>
      <c r="F1088" s="19">
        <f>IF(OR(B1088="",C1088=""),"",E1088-B1088)</f>
        <v/>
      </c>
      <c r="G1088" s="21">
        <f>IF(OR(B1088="",B1088=0),"",F1088/B1088)</f>
        <v/>
      </c>
      <c r="H1088" s="13" t="n"/>
    </row>
    <row r="1089" ht="19.5" customHeight="1" s="49">
      <c r="A1089" s="6" t="n"/>
      <c r="B1089" s="24" t="n"/>
      <c r="C1089" s="29" t="n"/>
      <c r="D1089" s="7">
        <f>IF(C1089="","",C1089*$B$1)</f>
        <v/>
      </c>
      <c r="E1089" s="8">
        <f>IF(C1089="","",C1089-D1089)</f>
        <v/>
      </c>
      <c r="F1089" s="18">
        <f>IF(OR(B1089="",C1089=""),"",E1089-B1089)</f>
        <v/>
      </c>
      <c r="G1089" s="20">
        <f>IF(OR(B1089="",B1089=0),"",F1089/B1089)</f>
        <v/>
      </c>
      <c r="H1089" s="9" t="n"/>
    </row>
    <row r="1090" ht="19.5" customHeight="1" s="49">
      <c r="A1090" s="10" t="n"/>
      <c r="B1090" s="25" t="n"/>
      <c r="C1090" s="30" t="n"/>
      <c r="D1090" s="11">
        <f>IF(C1090="","",C1090*$B$1)</f>
        <v/>
      </c>
      <c r="E1090" s="12">
        <f>IF(C1090="","",C1090-D1090)</f>
        <v/>
      </c>
      <c r="F1090" s="19">
        <f>IF(OR(B1090="",C1090=""),"",E1090-B1090)</f>
        <v/>
      </c>
      <c r="G1090" s="21">
        <f>IF(OR(B1090="",B1090=0),"",F1090/B1090)</f>
        <v/>
      </c>
      <c r="H1090" s="13" t="n"/>
    </row>
    <row r="1091" ht="19.5" customHeight="1" s="49">
      <c r="A1091" s="6" t="n"/>
      <c r="B1091" s="24" t="n"/>
      <c r="C1091" s="29" t="n"/>
      <c r="D1091" s="7">
        <f>IF(C1091="","",C1091*$B$1)</f>
        <v/>
      </c>
      <c r="E1091" s="8">
        <f>IF(C1091="","",C1091-D1091)</f>
        <v/>
      </c>
      <c r="F1091" s="18">
        <f>IF(OR(B1091="",C1091=""),"",E1091-B1091)</f>
        <v/>
      </c>
      <c r="G1091" s="20">
        <f>IF(OR(B1091="",B1091=0),"",F1091/B1091)</f>
        <v/>
      </c>
      <c r="H1091" s="9" t="n"/>
    </row>
    <row r="1092" ht="19.5" customHeight="1" s="49">
      <c r="A1092" s="10" t="n"/>
      <c r="B1092" s="25" t="n"/>
      <c r="C1092" s="30" t="n"/>
      <c r="D1092" s="11">
        <f>IF(C1092="","",C1092*$B$1)</f>
        <v/>
      </c>
      <c r="E1092" s="12">
        <f>IF(C1092="","",C1092-D1092)</f>
        <v/>
      </c>
      <c r="F1092" s="19">
        <f>IF(OR(B1092="",C1092=""),"",E1092-B1092)</f>
        <v/>
      </c>
      <c r="G1092" s="21">
        <f>IF(OR(B1092="",B1092=0),"",F1092/B1092)</f>
        <v/>
      </c>
      <c r="H1092" s="13" t="n"/>
    </row>
    <row r="1093" ht="19.5" customHeight="1" s="49">
      <c r="A1093" s="6" t="n"/>
      <c r="B1093" s="24" t="n"/>
      <c r="C1093" s="29" t="n"/>
      <c r="D1093" s="7">
        <f>IF(C1093="","",C1093*$B$1)</f>
        <v/>
      </c>
      <c r="E1093" s="8">
        <f>IF(C1093="","",C1093-D1093)</f>
        <v/>
      </c>
      <c r="F1093" s="18">
        <f>IF(OR(B1093="",C1093=""),"",E1093-B1093)</f>
        <v/>
      </c>
      <c r="G1093" s="20">
        <f>IF(OR(B1093="",B1093=0),"",F1093/B1093)</f>
        <v/>
      </c>
      <c r="H1093" s="9" t="n"/>
    </row>
    <row r="1094" ht="19.5" customHeight="1" s="49">
      <c r="A1094" s="10" t="n"/>
      <c r="B1094" s="25" t="n"/>
      <c r="C1094" s="30" t="n"/>
      <c r="D1094" s="11">
        <f>IF(C1094="","",C1094*$B$1)</f>
        <v/>
      </c>
      <c r="E1094" s="12">
        <f>IF(C1094="","",C1094-D1094)</f>
        <v/>
      </c>
      <c r="F1094" s="19">
        <f>IF(OR(B1094="",C1094=""),"",E1094-B1094)</f>
        <v/>
      </c>
      <c r="G1094" s="21">
        <f>IF(OR(B1094="",B1094=0),"",F1094/B1094)</f>
        <v/>
      </c>
      <c r="H1094" s="13" t="n"/>
    </row>
    <row r="1095" ht="19.5" customHeight="1" s="49">
      <c r="A1095" s="6" t="n"/>
      <c r="B1095" s="24" t="n"/>
      <c r="C1095" s="29" t="n"/>
      <c r="D1095" s="7">
        <f>IF(C1095="","",C1095*$B$1)</f>
        <v/>
      </c>
      <c r="E1095" s="8">
        <f>IF(C1095="","",C1095-D1095)</f>
        <v/>
      </c>
      <c r="F1095" s="18">
        <f>IF(OR(B1095="",C1095=""),"",E1095-B1095)</f>
        <v/>
      </c>
      <c r="G1095" s="20">
        <f>IF(OR(B1095="",B1095=0),"",F1095/B1095)</f>
        <v/>
      </c>
      <c r="H1095" s="9" t="n"/>
    </row>
    <row r="1096" ht="19.5" customHeight="1" s="49">
      <c r="A1096" s="10" t="n"/>
      <c r="B1096" s="25" t="n"/>
      <c r="C1096" s="30" t="n"/>
      <c r="D1096" s="11">
        <f>IF(C1096="","",C1096*$B$1)</f>
        <v/>
      </c>
      <c r="E1096" s="12">
        <f>IF(C1096="","",C1096-D1096)</f>
        <v/>
      </c>
      <c r="F1096" s="19">
        <f>IF(OR(B1096="",C1096=""),"",E1096-B1096)</f>
        <v/>
      </c>
      <c r="G1096" s="21">
        <f>IF(OR(B1096="",B1096=0),"",F1096/B1096)</f>
        <v/>
      </c>
      <c r="H1096" s="13" t="n"/>
    </row>
    <row r="1097" ht="19.5" customHeight="1" s="49">
      <c r="A1097" s="6" t="n"/>
      <c r="B1097" s="24" t="n"/>
      <c r="C1097" s="29" t="n"/>
      <c r="D1097" s="7">
        <f>IF(C1097="","",C1097*$B$1)</f>
        <v/>
      </c>
      <c r="E1097" s="8">
        <f>IF(C1097="","",C1097-D1097)</f>
        <v/>
      </c>
      <c r="F1097" s="18">
        <f>IF(OR(B1097="",C1097=""),"",E1097-B1097)</f>
        <v/>
      </c>
      <c r="G1097" s="20">
        <f>IF(OR(B1097="",B1097=0),"",F1097/B1097)</f>
        <v/>
      </c>
      <c r="H1097" s="9" t="n"/>
    </row>
    <row r="1098" ht="19.5" customHeight="1" s="49">
      <c r="A1098" s="10" t="n"/>
      <c r="B1098" s="25" t="n"/>
      <c r="C1098" s="30" t="n"/>
      <c r="D1098" s="11">
        <f>IF(C1098="","",C1098*$B$1)</f>
        <v/>
      </c>
      <c r="E1098" s="12">
        <f>IF(C1098="","",C1098-D1098)</f>
        <v/>
      </c>
      <c r="F1098" s="19">
        <f>IF(OR(B1098="",C1098=""),"",E1098-B1098)</f>
        <v/>
      </c>
      <c r="G1098" s="21">
        <f>IF(OR(B1098="",B1098=0),"",F1098/B1098)</f>
        <v/>
      </c>
      <c r="H1098" s="13" t="n"/>
    </row>
    <row r="1099" ht="19.5" customHeight="1" s="49">
      <c r="A1099" s="6" t="n"/>
      <c r="B1099" s="24" t="n"/>
      <c r="C1099" s="29" t="n"/>
      <c r="D1099" s="7">
        <f>IF(C1099="","",C1099*$B$1)</f>
        <v/>
      </c>
      <c r="E1099" s="8">
        <f>IF(C1099="","",C1099-D1099)</f>
        <v/>
      </c>
      <c r="F1099" s="18">
        <f>IF(OR(B1099="",C1099=""),"",E1099-B1099)</f>
        <v/>
      </c>
      <c r="G1099" s="20">
        <f>IF(OR(B1099="",B1099=0),"",F1099/B1099)</f>
        <v/>
      </c>
      <c r="H1099" s="9" t="n"/>
    </row>
    <row r="1100" ht="19.5" customHeight="1" s="49">
      <c r="A1100" s="10" t="n"/>
      <c r="B1100" s="25" t="n"/>
      <c r="C1100" s="30" t="n"/>
      <c r="D1100" s="11">
        <f>IF(C1100="","",C1100*$B$1)</f>
        <v/>
      </c>
      <c r="E1100" s="12">
        <f>IF(C1100="","",C1100-D1100)</f>
        <v/>
      </c>
      <c r="F1100" s="19">
        <f>IF(OR(B1100="",C1100=""),"",E1100-B1100)</f>
        <v/>
      </c>
      <c r="G1100" s="21">
        <f>IF(OR(B1100="",B1100=0),"",F1100/B1100)</f>
        <v/>
      </c>
      <c r="H1100" s="13" t="n"/>
    </row>
    <row r="1101" ht="19.5" customHeight="1" s="49">
      <c r="A1101" s="6" t="n"/>
      <c r="B1101" s="24" t="n"/>
      <c r="C1101" s="29" t="n"/>
      <c r="D1101" s="7">
        <f>IF(C1101="","",C1101*$B$1)</f>
        <v/>
      </c>
      <c r="E1101" s="8">
        <f>IF(C1101="","",C1101-D1101)</f>
        <v/>
      </c>
      <c r="F1101" s="18">
        <f>IF(OR(B1101="",C1101=""),"",E1101-B1101)</f>
        <v/>
      </c>
      <c r="G1101" s="20">
        <f>IF(OR(B1101="",B1101=0),"",F1101/B1101)</f>
        <v/>
      </c>
      <c r="H1101" s="9" t="n"/>
    </row>
    <row r="1102" ht="19.5" customHeight="1" s="49">
      <c r="A1102" s="10" t="n"/>
      <c r="B1102" s="25" t="n"/>
      <c r="C1102" s="30" t="n"/>
      <c r="D1102" s="11">
        <f>IF(C1102="","",C1102*$B$1)</f>
        <v/>
      </c>
      <c r="E1102" s="12">
        <f>IF(C1102="","",C1102-D1102)</f>
        <v/>
      </c>
      <c r="F1102" s="19">
        <f>IF(OR(B1102="",C1102=""),"",E1102-B1102)</f>
        <v/>
      </c>
      <c r="G1102" s="21">
        <f>IF(OR(B1102="",B1102=0),"",F1102/B1102)</f>
        <v/>
      </c>
      <c r="H1102" s="13" t="n"/>
    </row>
    <row r="1103" ht="19.5" customHeight="1" s="49">
      <c r="A1103" s="6" t="n"/>
      <c r="B1103" s="24" t="n"/>
      <c r="C1103" s="29" t="n"/>
      <c r="D1103" s="7">
        <f>IF(C1103="","",C1103*$B$1)</f>
        <v/>
      </c>
      <c r="E1103" s="8">
        <f>IF(C1103="","",C1103-D1103)</f>
        <v/>
      </c>
      <c r="F1103" s="18">
        <f>IF(OR(B1103="",C1103=""),"",E1103-B1103)</f>
        <v/>
      </c>
      <c r="G1103" s="20">
        <f>IF(OR(B1103="",B1103=0),"",F1103/B1103)</f>
        <v/>
      </c>
      <c r="H1103" s="9" t="n"/>
    </row>
    <row r="1104" ht="19.5" customHeight="1" s="49">
      <c r="A1104" s="10" t="n"/>
      <c r="B1104" s="25" t="n"/>
      <c r="C1104" s="30" t="n"/>
      <c r="D1104" s="11">
        <f>IF(C1104="","",C1104*$B$1)</f>
        <v/>
      </c>
      <c r="E1104" s="12">
        <f>IF(C1104="","",C1104-D1104)</f>
        <v/>
      </c>
      <c r="F1104" s="19">
        <f>IF(OR(B1104="",C1104=""),"",E1104-B1104)</f>
        <v/>
      </c>
      <c r="G1104" s="21">
        <f>IF(OR(B1104="",B1104=0),"",F1104/B1104)</f>
        <v/>
      </c>
      <c r="H1104" s="13" t="n"/>
    </row>
    <row r="1105" ht="19.5" customHeight="1" s="49">
      <c r="A1105" s="6" t="n"/>
      <c r="B1105" s="24" t="n"/>
      <c r="C1105" s="29" t="n"/>
      <c r="D1105" s="7">
        <f>IF(C1105="","",C1105*$B$1)</f>
        <v/>
      </c>
      <c r="E1105" s="8">
        <f>IF(C1105="","",C1105-D1105)</f>
        <v/>
      </c>
      <c r="F1105" s="18">
        <f>IF(OR(B1105="",C1105=""),"",E1105-B1105)</f>
        <v/>
      </c>
      <c r="G1105" s="20">
        <f>IF(OR(B1105="",B1105=0),"",F1105/B1105)</f>
        <v/>
      </c>
      <c r="H1105" s="9" t="n"/>
    </row>
    <row r="1106" ht="19.5" customHeight="1" s="49">
      <c r="A1106" s="10" t="n"/>
      <c r="B1106" s="25" t="n"/>
      <c r="C1106" s="30" t="n"/>
      <c r="D1106" s="11">
        <f>IF(C1106="","",C1106*$B$1)</f>
        <v/>
      </c>
      <c r="E1106" s="12">
        <f>IF(C1106="","",C1106-D1106)</f>
        <v/>
      </c>
      <c r="F1106" s="19">
        <f>IF(OR(B1106="",C1106=""),"",E1106-B1106)</f>
        <v/>
      </c>
      <c r="G1106" s="21">
        <f>IF(OR(B1106="",B1106=0),"",F1106/B1106)</f>
        <v/>
      </c>
      <c r="H1106" s="13" t="n"/>
    </row>
    <row r="1107" ht="19.5" customHeight="1" s="49">
      <c r="A1107" s="6" t="n"/>
      <c r="B1107" s="24" t="n"/>
      <c r="C1107" s="29" t="n"/>
      <c r="D1107" s="7">
        <f>IF(C1107="","",C1107*$B$1)</f>
        <v/>
      </c>
      <c r="E1107" s="8">
        <f>IF(C1107="","",C1107-D1107)</f>
        <v/>
      </c>
      <c r="F1107" s="18">
        <f>IF(OR(B1107="",C1107=""),"",E1107-B1107)</f>
        <v/>
      </c>
      <c r="G1107" s="20">
        <f>IF(OR(B1107="",B1107=0),"",F1107/B1107)</f>
        <v/>
      </c>
      <c r="H1107" s="9" t="n"/>
    </row>
    <row r="1108" ht="19.5" customHeight="1" s="49">
      <c r="A1108" s="10" t="n"/>
      <c r="B1108" s="25" t="n"/>
      <c r="C1108" s="30" t="n"/>
      <c r="D1108" s="11">
        <f>IF(C1108="","",C1108*$B$1)</f>
        <v/>
      </c>
      <c r="E1108" s="12">
        <f>IF(C1108="","",C1108-D1108)</f>
        <v/>
      </c>
      <c r="F1108" s="19">
        <f>IF(OR(B1108="",C1108=""),"",E1108-B1108)</f>
        <v/>
      </c>
      <c r="G1108" s="21">
        <f>IF(OR(B1108="",B1108=0),"",F1108/B1108)</f>
        <v/>
      </c>
      <c r="H1108" s="13" t="n"/>
    </row>
    <row r="1109" ht="19.5" customHeight="1" s="49">
      <c r="A1109" s="6" t="n"/>
      <c r="B1109" s="24" t="n"/>
      <c r="C1109" s="29" t="n"/>
      <c r="D1109" s="7">
        <f>IF(C1109="","",C1109*$B$1)</f>
        <v/>
      </c>
      <c r="E1109" s="8">
        <f>IF(C1109="","",C1109-D1109)</f>
        <v/>
      </c>
      <c r="F1109" s="18">
        <f>IF(OR(B1109="",C1109=""),"",E1109-B1109)</f>
        <v/>
      </c>
      <c r="G1109" s="20">
        <f>IF(OR(B1109="",B1109=0),"",F1109/B1109)</f>
        <v/>
      </c>
      <c r="H1109" s="9" t="n"/>
    </row>
    <row r="1110" ht="19.5" customHeight="1" s="49">
      <c r="A1110" s="10" t="n"/>
      <c r="B1110" s="25" t="n"/>
      <c r="C1110" s="30" t="n"/>
      <c r="D1110" s="11">
        <f>IF(C1110="","",C1110*$B$1)</f>
        <v/>
      </c>
      <c r="E1110" s="12">
        <f>IF(C1110="","",C1110-D1110)</f>
        <v/>
      </c>
      <c r="F1110" s="19">
        <f>IF(OR(B1110="",C1110=""),"",E1110-B1110)</f>
        <v/>
      </c>
      <c r="G1110" s="21">
        <f>IF(OR(B1110="",B1110=0),"",F1110/B1110)</f>
        <v/>
      </c>
      <c r="H1110" s="13" t="n"/>
    </row>
    <row r="1111" ht="19.5" customHeight="1" s="49">
      <c r="A1111" s="6" t="n"/>
      <c r="B1111" s="24" t="n"/>
      <c r="C1111" s="29" t="n"/>
      <c r="D1111" s="7">
        <f>IF(C1111="","",C1111*$B$1)</f>
        <v/>
      </c>
      <c r="E1111" s="8">
        <f>IF(C1111="","",C1111-D1111)</f>
        <v/>
      </c>
      <c r="F1111" s="18">
        <f>IF(OR(B1111="",C1111=""),"",E1111-B1111)</f>
        <v/>
      </c>
      <c r="G1111" s="20">
        <f>IF(OR(B1111="",B1111=0),"",F1111/B1111)</f>
        <v/>
      </c>
      <c r="H1111" s="9" t="n"/>
    </row>
    <row r="1112" ht="19.5" customHeight="1" s="49">
      <c r="A1112" s="10" t="n"/>
      <c r="B1112" s="25" t="n"/>
      <c r="C1112" s="30" t="n"/>
      <c r="D1112" s="11">
        <f>IF(C1112="","",C1112*$B$1)</f>
        <v/>
      </c>
      <c r="E1112" s="12">
        <f>IF(C1112="","",C1112-D1112)</f>
        <v/>
      </c>
      <c r="F1112" s="19">
        <f>IF(OR(B1112="",C1112=""),"",E1112-B1112)</f>
        <v/>
      </c>
      <c r="G1112" s="21">
        <f>IF(OR(B1112="",B1112=0),"",F1112/B1112)</f>
        <v/>
      </c>
      <c r="H1112" s="13" t="n"/>
    </row>
    <row r="1113" ht="19.5" customHeight="1" s="49">
      <c r="A1113" s="6" t="n"/>
      <c r="B1113" s="24" t="n"/>
      <c r="C1113" s="29" t="n"/>
      <c r="D1113" s="7">
        <f>IF(C1113="","",C1113*$B$1)</f>
        <v/>
      </c>
      <c r="E1113" s="8">
        <f>IF(C1113="","",C1113-D1113)</f>
        <v/>
      </c>
      <c r="F1113" s="18">
        <f>IF(OR(B1113="",C1113=""),"",E1113-B1113)</f>
        <v/>
      </c>
      <c r="G1113" s="20">
        <f>IF(OR(B1113="",B1113=0),"",F1113/B1113)</f>
        <v/>
      </c>
      <c r="H1113" s="9" t="n"/>
    </row>
    <row r="1114" ht="19.5" customHeight="1" s="49">
      <c r="A1114" s="10" t="n"/>
      <c r="B1114" s="25" t="n"/>
      <c r="C1114" s="30" t="n"/>
      <c r="D1114" s="11">
        <f>IF(C1114="","",C1114*$B$1)</f>
        <v/>
      </c>
      <c r="E1114" s="12">
        <f>IF(C1114="","",C1114-D1114)</f>
        <v/>
      </c>
      <c r="F1114" s="19">
        <f>IF(OR(B1114="",C1114=""),"",E1114-B1114)</f>
        <v/>
      </c>
      <c r="G1114" s="21">
        <f>IF(OR(B1114="",B1114=0),"",F1114/B1114)</f>
        <v/>
      </c>
      <c r="H1114" s="13" t="n"/>
    </row>
    <row r="1115" ht="19.5" customHeight="1" s="49">
      <c r="A1115" s="6" t="n"/>
      <c r="B1115" s="24" t="n"/>
      <c r="C1115" s="29" t="n"/>
      <c r="D1115" s="7">
        <f>IF(C1115="","",C1115*$B$1)</f>
        <v/>
      </c>
      <c r="E1115" s="8">
        <f>IF(C1115="","",C1115-D1115)</f>
        <v/>
      </c>
      <c r="F1115" s="18">
        <f>IF(OR(B1115="",C1115=""),"",E1115-B1115)</f>
        <v/>
      </c>
      <c r="G1115" s="20">
        <f>IF(OR(B1115="",B1115=0),"",F1115/B1115)</f>
        <v/>
      </c>
      <c r="H1115" s="9" t="n"/>
    </row>
    <row r="1116" ht="19.5" customHeight="1" s="49">
      <c r="A1116" s="10" t="n"/>
      <c r="B1116" s="25" t="n"/>
      <c r="C1116" s="30" t="n"/>
      <c r="D1116" s="11">
        <f>IF(C1116="","",C1116*$B$1)</f>
        <v/>
      </c>
      <c r="E1116" s="12">
        <f>IF(C1116="","",C1116-D1116)</f>
        <v/>
      </c>
      <c r="F1116" s="19">
        <f>IF(OR(B1116="",C1116=""),"",E1116-B1116)</f>
        <v/>
      </c>
      <c r="G1116" s="21">
        <f>IF(OR(B1116="",B1116=0),"",F1116/B1116)</f>
        <v/>
      </c>
      <c r="H1116" s="13" t="n"/>
    </row>
    <row r="1117" ht="19.5" customHeight="1" s="49">
      <c r="A1117" s="6" t="n"/>
      <c r="B1117" s="24" t="n"/>
      <c r="C1117" s="29" t="n"/>
      <c r="D1117" s="7">
        <f>IF(C1117="","",C1117*$B$1)</f>
        <v/>
      </c>
      <c r="E1117" s="8">
        <f>IF(C1117="","",C1117-D1117)</f>
        <v/>
      </c>
      <c r="F1117" s="18">
        <f>IF(OR(B1117="",C1117=""),"",E1117-B1117)</f>
        <v/>
      </c>
      <c r="G1117" s="20">
        <f>IF(OR(B1117="",B1117=0),"",F1117/B1117)</f>
        <v/>
      </c>
      <c r="H1117" s="9" t="n"/>
    </row>
    <row r="1118" ht="19.5" customHeight="1" s="49">
      <c r="A1118" s="10" t="n"/>
      <c r="B1118" s="25" t="n"/>
      <c r="C1118" s="30" t="n"/>
      <c r="D1118" s="11">
        <f>IF(C1118="","",C1118*$B$1)</f>
        <v/>
      </c>
      <c r="E1118" s="12">
        <f>IF(C1118="","",C1118-D1118)</f>
        <v/>
      </c>
      <c r="F1118" s="19">
        <f>IF(OR(B1118="",C1118=""),"",E1118-B1118)</f>
        <v/>
      </c>
      <c r="G1118" s="21">
        <f>IF(OR(B1118="",B1118=0),"",F1118/B1118)</f>
        <v/>
      </c>
      <c r="H1118" s="13" t="n"/>
    </row>
    <row r="1119" ht="19.5" customHeight="1" s="49">
      <c r="A1119" s="6" t="n"/>
      <c r="B1119" s="24" t="n"/>
      <c r="C1119" s="29" t="n"/>
      <c r="D1119" s="7">
        <f>IF(C1119="","",C1119*$B$1)</f>
        <v/>
      </c>
      <c r="E1119" s="8">
        <f>IF(C1119="","",C1119-D1119)</f>
        <v/>
      </c>
      <c r="F1119" s="18">
        <f>IF(OR(B1119="",C1119=""),"",E1119-B1119)</f>
        <v/>
      </c>
      <c r="G1119" s="20">
        <f>IF(OR(B1119="",B1119=0),"",F1119/B1119)</f>
        <v/>
      </c>
      <c r="H1119" s="9" t="n"/>
    </row>
    <row r="1120" ht="19.5" customHeight="1" s="49">
      <c r="A1120" s="10" t="n"/>
      <c r="B1120" s="25" t="n"/>
      <c r="C1120" s="30" t="n"/>
      <c r="D1120" s="11">
        <f>IF(C1120="","",C1120*$B$1)</f>
        <v/>
      </c>
      <c r="E1120" s="12">
        <f>IF(C1120="","",C1120-D1120)</f>
        <v/>
      </c>
      <c r="F1120" s="19">
        <f>IF(OR(B1120="",C1120=""),"",E1120-B1120)</f>
        <v/>
      </c>
      <c r="G1120" s="21">
        <f>IF(OR(B1120="",B1120=0),"",F1120/B1120)</f>
        <v/>
      </c>
      <c r="H1120" s="13" t="n"/>
    </row>
    <row r="1121" ht="19.5" customHeight="1" s="49">
      <c r="A1121" s="6" t="n"/>
      <c r="B1121" s="24" t="n"/>
      <c r="C1121" s="29" t="n"/>
      <c r="D1121" s="7">
        <f>IF(C1121="","",C1121*$B$1)</f>
        <v/>
      </c>
      <c r="E1121" s="8">
        <f>IF(C1121="","",C1121-D1121)</f>
        <v/>
      </c>
      <c r="F1121" s="18">
        <f>IF(OR(B1121="",C1121=""),"",E1121-B1121)</f>
        <v/>
      </c>
      <c r="G1121" s="20">
        <f>IF(OR(B1121="",B1121=0),"",F1121/B1121)</f>
        <v/>
      </c>
      <c r="H1121" s="9" t="n"/>
    </row>
    <row r="1122" ht="19.5" customHeight="1" s="49">
      <c r="A1122" s="10" t="n"/>
      <c r="B1122" s="25" t="n"/>
      <c r="C1122" s="30" t="n"/>
      <c r="D1122" s="11">
        <f>IF(C1122="","",C1122*$B$1)</f>
        <v/>
      </c>
      <c r="E1122" s="12">
        <f>IF(C1122="","",C1122-D1122)</f>
        <v/>
      </c>
      <c r="F1122" s="19">
        <f>IF(OR(B1122="",C1122=""),"",E1122-B1122)</f>
        <v/>
      </c>
      <c r="G1122" s="21">
        <f>IF(OR(B1122="",B1122=0),"",F1122/B1122)</f>
        <v/>
      </c>
      <c r="H1122" s="13" t="n"/>
    </row>
    <row r="1123" ht="19.5" customHeight="1" s="49">
      <c r="A1123" s="6" t="n"/>
      <c r="B1123" s="24" t="n"/>
      <c r="C1123" s="29" t="n"/>
      <c r="D1123" s="7">
        <f>IF(C1123="","",C1123*$B$1)</f>
        <v/>
      </c>
      <c r="E1123" s="8">
        <f>IF(C1123="","",C1123-D1123)</f>
        <v/>
      </c>
      <c r="F1123" s="18">
        <f>IF(OR(B1123="",C1123=""),"",E1123-B1123)</f>
        <v/>
      </c>
      <c r="G1123" s="20">
        <f>IF(OR(B1123="",B1123=0),"",F1123/B1123)</f>
        <v/>
      </c>
      <c r="H1123" s="9" t="n"/>
    </row>
    <row r="1124" ht="19.5" customHeight="1" s="49">
      <c r="A1124" s="10" t="n"/>
      <c r="B1124" s="25" t="n"/>
      <c r="C1124" s="30" t="n"/>
      <c r="D1124" s="11">
        <f>IF(C1124="","",C1124*$B$1)</f>
        <v/>
      </c>
      <c r="E1124" s="12">
        <f>IF(C1124="","",C1124-D1124)</f>
        <v/>
      </c>
      <c r="F1124" s="19">
        <f>IF(OR(B1124="",C1124=""),"",E1124-B1124)</f>
        <v/>
      </c>
      <c r="G1124" s="21">
        <f>IF(OR(B1124="",B1124=0),"",F1124/B1124)</f>
        <v/>
      </c>
      <c r="H1124" s="13" t="n"/>
    </row>
    <row r="1125" ht="19.5" customHeight="1" s="49">
      <c r="A1125" s="6" t="n"/>
      <c r="B1125" s="24" t="n"/>
      <c r="C1125" s="29" t="n"/>
      <c r="D1125" s="7">
        <f>IF(C1125="","",C1125*$B$1)</f>
        <v/>
      </c>
      <c r="E1125" s="8">
        <f>IF(C1125="","",C1125-D1125)</f>
        <v/>
      </c>
      <c r="F1125" s="18">
        <f>IF(OR(B1125="",C1125=""),"",E1125-B1125)</f>
        <v/>
      </c>
      <c r="G1125" s="20">
        <f>IF(OR(B1125="",B1125=0),"",F1125/B1125)</f>
        <v/>
      </c>
      <c r="H1125" s="9" t="n"/>
    </row>
    <row r="1126" ht="19.5" customHeight="1" s="49">
      <c r="A1126" s="10" t="n"/>
      <c r="B1126" s="25" t="n"/>
      <c r="C1126" s="30" t="n"/>
      <c r="D1126" s="11">
        <f>IF(C1126="","",C1126*$B$1)</f>
        <v/>
      </c>
      <c r="E1126" s="12">
        <f>IF(C1126="","",C1126-D1126)</f>
        <v/>
      </c>
      <c r="F1126" s="19">
        <f>IF(OR(B1126="",C1126=""),"",E1126-B1126)</f>
        <v/>
      </c>
      <c r="G1126" s="21">
        <f>IF(OR(B1126="",B1126=0),"",F1126/B1126)</f>
        <v/>
      </c>
      <c r="H1126" s="13" t="n"/>
    </row>
    <row r="1127" ht="19.5" customHeight="1" s="49">
      <c r="A1127" s="6" t="n"/>
      <c r="B1127" s="24" t="n"/>
      <c r="C1127" s="29" t="n"/>
      <c r="D1127" s="7">
        <f>IF(C1127="","",C1127*$B$1)</f>
        <v/>
      </c>
      <c r="E1127" s="8">
        <f>IF(C1127="","",C1127-D1127)</f>
        <v/>
      </c>
      <c r="F1127" s="18">
        <f>IF(OR(B1127="",C1127=""),"",E1127-B1127)</f>
        <v/>
      </c>
      <c r="G1127" s="20">
        <f>IF(OR(B1127="",B1127=0),"",F1127/B1127)</f>
        <v/>
      </c>
      <c r="H1127" s="9" t="n"/>
    </row>
    <row r="1128" ht="19.5" customHeight="1" s="49">
      <c r="A1128" s="10" t="n"/>
      <c r="B1128" s="25" t="n"/>
      <c r="C1128" s="30" t="n"/>
      <c r="D1128" s="11">
        <f>IF(C1128="","",C1128*$B$1)</f>
        <v/>
      </c>
      <c r="E1128" s="12">
        <f>IF(C1128="","",C1128-D1128)</f>
        <v/>
      </c>
      <c r="F1128" s="19">
        <f>IF(OR(B1128="",C1128=""),"",E1128-B1128)</f>
        <v/>
      </c>
      <c r="G1128" s="21">
        <f>IF(OR(B1128="",B1128=0),"",F1128/B1128)</f>
        <v/>
      </c>
      <c r="H1128" s="13" t="n"/>
    </row>
    <row r="1129" ht="19.5" customHeight="1" s="49">
      <c r="A1129" s="6" t="n"/>
      <c r="B1129" s="24" t="n"/>
      <c r="C1129" s="29" t="n"/>
      <c r="D1129" s="7">
        <f>IF(C1129="","",C1129*$B$1)</f>
        <v/>
      </c>
      <c r="E1129" s="8">
        <f>IF(C1129="","",C1129-D1129)</f>
        <v/>
      </c>
      <c r="F1129" s="18">
        <f>IF(OR(B1129="",C1129=""),"",E1129-B1129)</f>
        <v/>
      </c>
      <c r="G1129" s="20">
        <f>IF(OR(B1129="",B1129=0),"",F1129/B1129)</f>
        <v/>
      </c>
      <c r="H1129" s="9" t="n"/>
    </row>
    <row r="1130" ht="19.5" customHeight="1" s="49">
      <c r="A1130" s="10" t="n"/>
      <c r="B1130" s="25" t="n"/>
      <c r="C1130" s="30" t="n"/>
      <c r="D1130" s="11">
        <f>IF(C1130="","",C1130*$B$1)</f>
        <v/>
      </c>
      <c r="E1130" s="12">
        <f>IF(C1130="","",C1130-D1130)</f>
        <v/>
      </c>
      <c r="F1130" s="19">
        <f>IF(OR(B1130="",C1130=""),"",E1130-B1130)</f>
        <v/>
      </c>
      <c r="G1130" s="21">
        <f>IF(OR(B1130="",B1130=0),"",F1130/B1130)</f>
        <v/>
      </c>
      <c r="H1130" s="13" t="n"/>
    </row>
    <row r="1131" ht="19.5" customHeight="1" s="49">
      <c r="A1131" s="6" t="n"/>
      <c r="B1131" s="24" t="n"/>
      <c r="C1131" s="29" t="n"/>
      <c r="D1131" s="7">
        <f>IF(C1131="","",C1131*$B$1)</f>
        <v/>
      </c>
      <c r="E1131" s="8">
        <f>IF(C1131="","",C1131-D1131)</f>
        <v/>
      </c>
      <c r="F1131" s="18">
        <f>IF(OR(B1131="",C1131=""),"",E1131-B1131)</f>
        <v/>
      </c>
      <c r="G1131" s="20">
        <f>IF(OR(B1131="",B1131=0),"",F1131/B1131)</f>
        <v/>
      </c>
      <c r="H1131" s="9" t="n"/>
    </row>
    <row r="1132" ht="19.5" customHeight="1" s="49">
      <c r="A1132" s="10" t="n"/>
      <c r="B1132" s="25" t="n"/>
      <c r="C1132" s="30" t="n"/>
      <c r="D1132" s="11">
        <f>IF(C1132="","",C1132*$B$1)</f>
        <v/>
      </c>
      <c r="E1132" s="12">
        <f>IF(C1132="","",C1132-D1132)</f>
        <v/>
      </c>
      <c r="F1132" s="19">
        <f>IF(OR(B1132="",C1132=""),"",E1132-B1132)</f>
        <v/>
      </c>
      <c r="G1132" s="21">
        <f>IF(OR(B1132="",B1132=0),"",F1132/B1132)</f>
        <v/>
      </c>
      <c r="H1132" s="13" t="n"/>
    </row>
    <row r="1133" ht="19.5" customHeight="1" s="49">
      <c r="A1133" s="6" t="n"/>
      <c r="B1133" s="24" t="n"/>
      <c r="C1133" s="29" t="n"/>
      <c r="D1133" s="7">
        <f>IF(C1133="","",C1133*$B$1)</f>
        <v/>
      </c>
      <c r="E1133" s="8">
        <f>IF(C1133="","",C1133-D1133)</f>
        <v/>
      </c>
      <c r="F1133" s="18">
        <f>IF(OR(B1133="",C1133=""),"",E1133-B1133)</f>
        <v/>
      </c>
      <c r="G1133" s="20">
        <f>IF(OR(B1133="",B1133=0),"",F1133/B1133)</f>
        <v/>
      </c>
      <c r="H1133" s="9" t="n"/>
    </row>
    <row r="1134" ht="19.5" customHeight="1" s="49">
      <c r="A1134" s="10" t="n"/>
      <c r="B1134" s="25" t="n"/>
      <c r="C1134" s="30" t="n"/>
      <c r="D1134" s="11">
        <f>IF(C1134="","",C1134*$B$1)</f>
        <v/>
      </c>
      <c r="E1134" s="12">
        <f>IF(C1134="","",C1134-D1134)</f>
        <v/>
      </c>
      <c r="F1134" s="19">
        <f>IF(OR(B1134="",C1134=""),"",E1134-B1134)</f>
        <v/>
      </c>
      <c r="G1134" s="21">
        <f>IF(OR(B1134="",B1134=0),"",F1134/B1134)</f>
        <v/>
      </c>
      <c r="H1134" s="13" t="n"/>
    </row>
    <row r="1135" ht="19.5" customHeight="1" s="49">
      <c r="A1135" s="6" t="n"/>
      <c r="B1135" s="24" t="n"/>
      <c r="C1135" s="29" t="n"/>
      <c r="D1135" s="7">
        <f>IF(C1135="","",C1135*$B$1)</f>
        <v/>
      </c>
      <c r="E1135" s="8">
        <f>IF(C1135="","",C1135-D1135)</f>
        <v/>
      </c>
      <c r="F1135" s="18">
        <f>IF(OR(B1135="",C1135=""),"",E1135-B1135)</f>
        <v/>
      </c>
      <c r="G1135" s="20">
        <f>IF(OR(B1135="",B1135=0),"",F1135/B1135)</f>
        <v/>
      </c>
      <c r="H1135" s="9" t="n"/>
    </row>
    <row r="1136" ht="19.5" customHeight="1" s="49">
      <c r="A1136" s="10" t="n"/>
      <c r="B1136" s="25" t="n"/>
      <c r="C1136" s="30" t="n"/>
      <c r="D1136" s="11">
        <f>IF(C1136="","",C1136*$B$1)</f>
        <v/>
      </c>
      <c r="E1136" s="12">
        <f>IF(C1136="","",C1136-D1136)</f>
        <v/>
      </c>
      <c r="F1136" s="19">
        <f>IF(OR(B1136="",C1136=""),"",E1136-B1136)</f>
        <v/>
      </c>
      <c r="G1136" s="21">
        <f>IF(OR(B1136="",B1136=0),"",F1136/B1136)</f>
        <v/>
      </c>
      <c r="H1136" s="13" t="n"/>
    </row>
    <row r="1137" ht="19.5" customHeight="1" s="49">
      <c r="A1137" s="6" t="n"/>
      <c r="B1137" s="24" t="n"/>
      <c r="C1137" s="29" t="n"/>
      <c r="D1137" s="7">
        <f>IF(C1137="","",C1137*$B$1)</f>
        <v/>
      </c>
      <c r="E1137" s="8">
        <f>IF(C1137="","",C1137-D1137)</f>
        <v/>
      </c>
      <c r="F1137" s="18">
        <f>IF(OR(B1137="",C1137=""),"",E1137-B1137)</f>
        <v/>
      </c>
      <c r="G1137" s="20">
        <f>IF(OR(B1137="",B1137=0),"",F1137/B1137)</f>
        <v/>
      </c>
      <c r="H1137" s="9" t="n"/>
    </row>
    <row r="1138" ht="19.5" customHeight="1" s="49">
      <c r="A1138" s="10" t="n"/>
      <c r="B1138" s="25" t="n"/>
      <c r="C1138" s="30" t="n"/>
      <c r="D1138" s="11">
        <f>IF(C1138="","",C1138*$B$1)</f>
        <v/>
      </c>
      <c r="E1138" s="12">
        <f>IF(C1138="","",C1138-D1138)</f>
        <v/>
      </c>
      <c r="F1138" s="19">
        <f>IF(OR(B1138="",C1138=""),"",E1138-B1138)</f>
        <v/>
      </c>
      <c r="G1138" s="21">
        <f>IF(OR(B1138="",B1138=0),"",F1138/B1138)</f>
        <v/>
      </c>
      <c r="H1138" s="13" t="n"/>
    </row>
    <row r="1139" ht="19.5" customHeight="1" s="49">
      <c r="A1139" s="6" t="n"/>
      <c r="B1139" s="24" t="n"/>
      <c r="C1139" s="29" t="n"/>
      <c r="D1139" s="7">
        <f>IF(C1139="","",C1139*$B$1)</f>
        <v/>
      </c>
      <c r="E1139" s="8">
        <f>IF(C1139="","",C1139-D1139)</f>
        <v/>
      </c>
      <c r="F1139" s="18">
        <f>IF(OR(B1139="",C1139=""),"",E1139-B1139)</f>
        <v/>
      </c>
      <c r="G1139" s="20">
        <f>IF(OR(B1139="",B1139=0),"",F1139/B1139)</f>
        <v/>
      </c>
      <c r="H1139" s="9" t="n"/>
    </row>
    <row r="1140" ht="19.5" customHeight="1" s="49">
      <c r="A1140" s="10" t="n"/>
      <c r="B1140" s="25" t="n"/>
      <c r="C1140" s="30" t="n"/>
      <c r="D1140" s="11">
        <f>IF(C1140="","",C1140*$B$1)</f>
        <v/>
      </c>
      <c r="E1140" s="12">
        <f>IF(C1140="","",C1140-D1140)</f>
        <v/>
      </c>
      <c r="F1140" s="19">
        <f>IF(OR(B1140="",C1140=""),"",E1140-B1140)</f>
        <v/>
      </c>
      <c r="G1140" s="21">
        <f>IF(OR(B1140="",B1140=0),"",F1140/B1140)</f>
        <v/>
      </c>
      <c r="H1140" s="13" t="n"/>
    </row>
    <row r="1141" ht="19.5" customHeight="1" s="49">
      <c r="A1141" s="6" t="n"/>
      <c r="B1141" s="24" t="n"/>
      <c r="C1141" s="29" t="n"/>
      <c r="D1141" s="7">
        <f>IF(C1141="","",C1141*$B$1)</f>
        <v/>
      </c>
      <c r="E1141" s="8">
        <f>IF(C1141="","",C1141-D1141)</f>
        <v/>
      </c>
      <c r="F1141" s="18">
        <f>IF(OR(B1141="",C1141=""),"",E1141-B1141)</f>
        <v/>
      </c>
      <c r="G1141" s="20">
        <f>IF(OR(B1141="",B1141=0),"",F1141/B1141)</f>
        <v/>
      </c>
      <c r="H1141" s="9" t="n"/>
    </row>
    <row r="1142" ht="19.5" customHeight="1" s="49">
      <c r="A1142" s="10" t="n"/>
      <c r="B1142" s="25" t="n"/>
      <c r="C1142" s="30" t="n"/>
      <c r="D1142" s="11">
        <f>IF(C1142="","",C1142*$B$1)</f>
        <v/>
      </c>
      <c r="E1142" s="12">
        <f>IF(C1142="","",C1142-D1142)</f>
        <v/>
      </c>
      <c r="F1142" s="19">
        <f>IF(OR(B1142="",C1142=""),"",E1142-B1142)</f>
        <v/>
      </c>
      <c r="G1142" s="21">
        <f>IF(OR(B1142="",B1142=0),"",F1142/B1142)</f>
        <v/>
      </c>
      <c r="H1142" s="13" t="n"/>
    </row>
    <row r="1143" ht="19.5" customHeight="1" s="49">
      <c r="A1143" s="6" t="n"/>
      <c r="B1143" s="24" t="n"/>
      <c r="C1143" s="29" t="n"/>
      <c r="D1143" s="7">
        <f>IF(C1143="","",C1143*$B$1)</f>
        <v/>
      </c>
      <c r="E1143" s="8">
        <f>IF(C1143="","",C1143-D1143)</f>
        <v/>
      </c>
      <c r="F1143" s="18">
        <f>IF(OR(B1143="",C1143=""),"",E1143-B1143)</f>
        <v/>
      </c>
      <c r="G1143" s="20">
        <f>IF(OR(B1143="",B1143=0),"",F1143/B1143)</f>
        <v/>
      </c>
      <c r="H1143" s="9" t="n"/>
    </row>
    <row r="1144" ht="19.5" customHeight="1" s="49">
      <c r="A1144" s="10" t="n"/>
      <c r="B1144" s="25" t="n"/>
      <c r="C1144" s="30" t="n"/>
      <c r="D1144" s="11">
        <f>IF(C1144="","",C1144*$B$1)</f>
        <v/>
      </c>
      <c r="E1144" s="12">
        <f>IF(C1144="","",C1144-D1144)</f>
        <v/>
      </c>
      <c r="F1144" s="19">
        <f>IF(OR(B1144="",C1144=""),"",E1144-B1144)</f>
        <v/>
      </c>
      <c r="G1144" s="21">
        <f>IF(OR(B1144="",B1144=0),"",F1144/B1144)</f>
        <v/>
      </c>
      <c r="H1144" s="13" t="n"/>
    </row>
    <row r="1145" ht="19.5" customHeight="1" s="49">
      <c r="A1145" s="51" t="n"/>
      <c r="B1145" s="52" t="n"/>
      <c r="C1145" s="53" t="n"/>
      <c r="D1145" s="51" t="n"/>
      <c r="E1145" s="51" t="n"/>
      <c r="F1145" s="54" t="n"/>
      <c r="G1145" s="55" t="n"/>
      <c r="H1145" s="51" t="n"/>
      <c r="I1145" s="51" t="n"/>
      <c r="J1145" s="51" t="n"/>
      <c r="K1145" s="51" t="n"/>
      <c r="L1145" s="51" t="n"/>
      <c r="M1145" s="51" t="n"/>
      <c r="N1145" s="51" t="n"/>
      <c r="O1145" s="51" t="n"/>
      <c r="P1145" s="51" t="n"/>
      <c r="Q1145" s="51" t="n"/>
      <c r="R1145" s="51" t="n"/>
      <c r="S1145" s="51" t="n"/>
      <c r="T1145" s="51" t="n"/>
      <c r="U1145" s="51" t="n"/>
      <c r="V1145" s="51" t="n"/>
      <c r="W1145" s="51" t="n"/>
      <c r="X1145" s="51" t="n"/>
      <c r="Y1145" s="51" t="n"/>
      <c r="Z1145" s="51" t="n"/>
      <c r="AA1145" s="51" t="n"/>
      <c r="AB1145" s="51" t="n"/>
      <c r="AC1145" s="51" t="n"/>
      <c r="AD1145" s="51" t="n"/>
      <c r="AE1145" s="51" t="n"/>
      <c r="AF1145" s="51" t="n"/>
      <c r="AG1145" s="51" t="n"/>
      <c r="AH1145" s="51" t="n"/>
      <c r="AI1145" s="51" t="n"/>
      <c r="AJ1145" s="51" t="n"/>
    </row>
    <row r="1146" ht="19.5" customHeight="1" s="49">
      <c r="A1146" s="14" t="inlineStr">
        <is>
          <t>📊 SUMMARY</t>
        </is>
      </c>
      <c r="B1146" s="26" t="n"/>
      <c r="C1146" s="59" t="n"/>
      <c r="D1146" s="59" t="n"/>
      <c r="E1146" s="59" t="n"/>
      <c r="F1146" s="57" t="n"/>
      <c r="G1146" s="58" t="n"/>
      <c r="H1146" s="67" t="n"/>
      <c r="I1146" s="56" t="n"/>
      <c r="J1146" s="56" t="n"/>
      <c r="K1146" s="56" t="n"/>
      <c r="L1146" s="56" t="n"/>
      <c r="M1146" s="56" t="n"/>
      <c r="N1146" s="56" t="n"/>
      <c r="O1146" s="56" t="n"/>
      <c r="P1146" s="56" t="n"/>
      <c r="Q1146" s="56" t="n"/>
      <c r="R1146" s="56" t="n"/>
      <c r="S1146" s="56" t="n"/>
      <c r="T1146" s="56" t="n"/>
      <c r="U1146" s="56" t="n"/>
      <c r="V1146" s="56" t="n"/>
      <c r="W1146" s="56" t="n"/>
      <c r="X1146" s="56" t="n"/>
      <c r="Y1146" s="56" t="n"/>
      <c r="Z1146" s="56" t="n"/>
      <c r="AA1146" s="56" t="n"/>
      <c r="AB1146" s="56" t="n"/>
      <c r="AC1146" s="56" t="n"/>
      <c r="AD1146" s="56" t="n"/>
      <c r="AE1146" s="56" t="n"/>
      <c r="AF1146" s="56" t="n"/>
      <c r="AG1146" s="56" t="n"/>
      <c r="AH1146" s="56" t="n"/>
      <c r="AI1146" s="56" t="n"/>
      <c r="AJ1146" s="56" t="n"/>
    </row>
    <row r="1147" ht="19.5" customHeight="1" s="49">
      <c r="A1147" s="66" t="n"/>
      <c r="B1147" s="64" t="n"/>
      <c r="C1147" s="64" t="n"/>
      <c r="D1147" s="64" t="n"/>
      <c r="E1147" s="64" t="n"/>
      <c r="F1147" s="64" t="n"/>
      <c r="G1147" s="65" t="n"/>
      <c r="H1147" s="58" t="n"/>
      <c r="I1147" s="56" t="n"/>
      <c r="J1147" s="56" t="n"/>
      <c r="K1147" s="56" t="n"/>
      <c r="L1147" s="56" t="n"/>
      <c r="M1147" s="56" t="n"/>
      <c r="N1147" s="56" t="n"/>
      <c r="O1147" s="56" t="n"/>
      <c r="P1147" s="56" t="n"/>
      <c r="Q1147" s="56" t="n"/>
      <c r="R1147" s="56" t="n"/>
      <c r="S1147" s="56" t="n"/>
      <c r="T1147" s="56" t="n"/>
      <c r="U1147" s="56" t="n"/>
      <c r="V1147" s="56" t="n"/>
      <c r="W1147" s="56" t="n"/>
      <c r="X1147" s="56" t="n"/>
      <c r="Y1147" s="56" t="n"/>
      <c r="Z1147" s="56" t="n"/>
      <c r="AA1147" s="56" t="n"/>
      <c r="AB1147" s="56" t="n"/>
      <c r="AC1147" s="56" t="n"/>
      <c r="AD1147" s="56" t="n"/>
      <c r="AE1147" s="56" t="n"/>
      <c r="AF1147" s="56" t="n"/>
      <c r="AG1147" s="56" t="n"/>
      <c r="AH1147" s="56" t="n"/>
      <c r="AI1147" s="56" t="n"/>
      <c r="AJ1147" s="56" t="n"/>
    </row>
    <row r="1148">
      <c r="A1148" s="14" t="inlineStr">
        <is>
          <t>Total Cost</t>
        </is>
      </c>
      <c r="B1148" s="27">
        <f>SUMIF(B3:B1144,"&lt;&gt;",$B$3:$B$1144)</f>
        <v/>
      </c>
      <c r="C1148" s="59" t="n"/>
      <c r="D1148" s="59" t="n"/>
      <c r="E1148" s="59" t="n"/>
      <c r="F1148" s="57" t="n"/>
      <c r="G1148" s="58" t="n"/>
      <c r="H1148" s="67" t="n"/>
      <c r="I1148" s="56" t="n"/>
      <c r="J1148" s="56" t="n"/>
      <c r="K1148" s="56" t="n"/>
      <c r="L1148" s="56" t="n"/>
      <c r="M1148" s="56" t="n"/>
      <c r="N1148" s="56" t="n"/>
      <c r="O1148" s="56" t="n"/>
      <c r="P1148" s="56" t="n"/>
      <c r="Q1148" s="56" t="n"/>
      <c r="R1148" s="56" t="n"/>
      <c r="S1148" s="56" t="n"/>
      <c r="T1148" s="56" t="n"/>
      <c r="U1148" s="56" t="n"/>
      <c r="V1148" s="56" t="n"/>
      <c r="W1148" s="56" t="n"/>
      <c r="X1148" s="56" t="n"/>
      <c r="Y1148" s="56" t="n"/>
      <c r="Z1148" s="56" t="n"/>
      <c r="AA1148" s="56" t="n"/>
      <c r="AB1148" s="56" t="n"/>
      <c r="AC1148" s="56" t="n"/>
      <c r="AD1148" s="56" t="n"/>
      <c r="AE1148" s="56" t="n"/>
      <c r="AF1148" s="56" t="n"/>
      <c r="AG1148" s="56" t="n"/>
      <c r="AH1148" s="56" t="n"/>
      <c r="AI1148" s="56" t="n"/>
      <c r="AJ1148" s="56" t="n"/>
    </row>
    <row r="1149" ht="24" customHeight="1" s="49">
      <c r="A1149" s="14" t="inlineStr">
        <is>
          <t>Total Revenue (Sold)</t>
        </is>
      </c>
      <c r="B1149" s="27">
        <f>SUMIF(C3:C1144,"&lt;&gt;",$C$3:$C$1144)</f>
        <v/>
      </c>
      <c r="C1149" s="59" t="n"/>
      <c r="D1149" s="59" t="n"/>
      <c r="E1149" s="59" t="n"/>
      <c r="F1149" s="57" t="n"/>
      <c r="G1149" s="58" t="n"/>
      <c r="H1149" s="67" t="n"/>
      <c r="I1149" s="56" t="n"/>
      <c r="J1149" s="56" t="n"/>
      <c r="K1149" s="56" t="n"/>
      <c r="L1149" s="56" t="n"/>
      <c r="M1149" s="56" t="n"/>
      <c r="N1149" s="56" t="n"/>
      <c r="O1149" s="56" t="n"/>
      <c r="P1149" s="56" t="n"/>
      <c r="Q1149" s="56" t="n"/>
      <c r="R1149" s="56" t="n"/>
      <c r="S1149" s="56" t="n"/>
      <c r="T1149" s="56" t="n"/>
      <c r="U1149" s="56" t="n"/>
      <c r="V1149" s="56" t="n"/>
      <c r="W1149" s="56" t="n"/>
      <c r="X1149" s="56" t="n"/>
      <c r="Y1149" s="56" t="n"/>
      <c r="Z1149" s="56" t="n"/>
      <c r="AA1149" s="56" t="n"/>
      <c r="AB1149" s="56" t="n"/>
      <c r="AC1149" s="56" t="n"/>
      <c r="AD1149" s="56" t="n"/>
      <c r="AE1149" s="56" t="n"/>
      <c r="AF1149" s="56" t="n"/>
      <c r="AG1149" s="56" t="n"/>
      <c r="AH1149" s="56" t="n"/>
      <c r="AI1149" s="56" t="n"/>
      <c r="AJ1149" s="56" t="n"/>
    </row>
    <row r="1150" ht="24" customHeight="1" s="49">
      <c r="A1150" s="14" t="inlineStr">
        <is>
          <t>Total Fees Paid</t>
        </is>
      </c>
      <c r="B1150" s="27">
        <f>SUMIF(D3:D1144,"&lt;&gt;",$D$3:$D$1144)</f>
        <v/>
      </c>
      <c r="C1150" s="59" t="n"/>
      <c r="D1150" s="59" t="n"/>
      <c r="E1150" s="59" t="n"/>
      <c r="F1150" s="57" t="n"/>
      <c r="G1150" s="58" t="n"/>
      <c r="H1150" s="67" t="n"/>
      <c r="I1150" s="56" t="n"/>
      <c r="J1150" s="56" t="n"/>
      <c r="K1150" s="56" t="n"/>
      <c r="L1150" s="56" t="n"/>
      <c r="M1150" s="56" t="n"/>
      <c r="N1150" s="56" t="n"/>
      <c r="O1150" s="56" t="n"/>
      <c r="P1150" s="56" t="n"/>
      <c r="Q1150" s="56" t="n"/>
      <c r="R1150" s="56" t="n"/>
      <c r="S1150" s="56" t="n"/>
      <c r="T1150" s="56" t="n"/>
      <c r="U1150" s="56" t="n"/>
      <c r="V1150" s="56" t="n"/>
      <c r="W1150" s="56" t="n"/>
      <c r="X1150" s="56" t="n"/>
      <c r="Y1150" s="56" t="n"/>
      <c r="Z1150" s="56" t="n"/>
      <c r="AA1150" s="56" t="n"/>
      <c r="AB1150" s="56" t="n"/>
      <c r="AC1150" s="56" t="n"/>
      <c r="AD1150" s="56" t="n"/>
      <c r="AE1150" s="56" t="n"/>
      <c r="AF1150" s="56" t="n"/>
      <c r="AG1150" s="56" t="n"/>
      <c r="AH1150" s="56" t="n"/>
      <c r="AI1150" s="56" t="n"/>
      <c r="AJ1150" s="56" t="n"/>
    </row>
    <row r="1151" ht="24" customHeight="1" s="49">
      <c r="A1151" s="14" t="inlineStr">
        <is>
          <t>Total Net Revenue</t>
        </is>
      </c>
      <c r="B1151" s="27">
        <f>SUMIF(E3:E1144,"&lt;&gt;",$E$3:$E$1144)</f>
        <v/>
      </c>
      <c r="C1151" s="59" t="n"/>
      <c r="D1151" s="59" t="n"/>
      <c r="E1151" s="59" t="n"/>
      <c r="F1151" s="57" t="n"/>
      <c r="G1151" s="58" t="n"/>
      <c r="H1151" s="67" t="n"/>
      <c r="I1151" s="56" t="n"/>
      <c r="J1151" s="56" t="n"/>
      <c r="K1151" s="56" t="n"/>
      <c r="L1151" s="56" t="n"/>
      <c r="M1151" s="56" t="n"/>
      <c r="N1151" s="56" t="n"/>
      <c r="O1151" s="56" t="n"/>
      <c r="P1151" s="56" t="n"/>
      <c r="Q1151" s="56" t="n"/>
      <c r="R1151" s="56" t="n"/>
      <c r="S1151" s="56" t="n"/>
      <c r="T1151" s="56" t="n"/>
      <c r="U1151" s="56" t="n"/>
      <c r="V1151" s="56" t="n"/>
      <c r="W1151" s="56" t="n"/>
      <c r="X1151" s="56" t="n"/>
      <c r="Y1151" s="56" t="n"/>
      <c r="Z1151" s="56" t="n"/>
      <c r="AA1151" s="56" t="n"/>
      <c r="AB1151" s="56" t="n"/>
      <c r="AC1151" s="56" t="n"/>
      <c r="AD1151" s="56" t="n"/>
      <c r="AE1151" s="56" t="n"/>
      <c r="AF1151" s="56" t="n"/>
      <c r="AG1151" s="56" t="n"/>
      <c r="AH1151" s="56" t="n"/>
      <c r="AI1151" s="56" t="n"/>
      <c r="AJ1151" s="56" t="n"/>
    </row>
    <row r="1152" ht="24" customHeight="1" s="49">
      <c r="A1152" s="14" t="inlineStr">
        <is>
          <t>Total Profit</t>
        </is>
      </c>
      <c r="B1152" s="27">
        <f>SUMIF(F3:F1144,"&lt;&gt;",$F$3:$F$1144)</f>
        <v/>
      </c>
      <c r="C1152" s="59" t="n"/>
      <c r="D1152" s="59" t="n"/>
      <c r="E1152" s="59" t="n"/>
      <c r="F1152" s="57" t="n"/>
      <c r="G1152" s="58" t="n"/>
      <c r="H1152" s="67" t="n"/>
      <c r="I1152" s="56" t="n"/>
      <c r="J1152" s="56" t="n"/>
      <c r="K1152" s="56" t="n"/>
      <c r="L1152" s="56" t="n"/>
      <c r="M1152" s="56" t="n"/>
      <c r="N1152" s="56" t="n"/>
      <c r="O1152" s="56" t="n"/>
      <c r="P1152" s="56" t="n"/>
      <c r="Q1152" s="56" t="n"/>
      <c r="R1152" s="56" t="n"/>
      <c r="S1152" s="56" t="n"/>
      <c r="T1152" s="56" t="n"/>
      <c r="U1152" s="56" t="n"/>
      <c r="V1152" s="56" t="n"/>
      <c r="W1152" s="56" t="n"/>
      <c r="X1152" s="56" t="n"/>
      <c r="Y1152" s="56" t="n"/>
      <c r="Z1152" s="56" t="n"/>
      <c r="AA1152" s="56" t="n"/>
      <c r="AB1152" s="56" t="n"/>
      <c r="AC1152" s="56" t="n"/>
      <c r="AD1152" s="56" t="n"/>
      <c r="AE1152" s="56" t="n"/>
      <c r="AF1152" s="56" t="n"/>
      <c r="AG1152" s="56" t="n"/>
      <c r="AH1152" s="56" t="n"/>
      <c r="AI1152" s="56" t="n"/>
      <c r="AJ1152" s="56" t="n"/>
    </row>
    <row r="1153" ht="24" customHeight="1" s="49">
      <c r="A1153" s="14" t="inlineStr">
        <is>
          <t>Overall ROI %</t>
        </is>
      </c>
      <c r="B1153" s="28">
        <f>IF(SUMIF(B3:B1144,"&lt;&gt;")=0,"",SUMIF(F3:F1144,"&lt;&gt;")/SUMIF(B3:B1144,"&lt;&gt;"))</f>
        <v/>
      </c>
      <c r="C1153" s="59" t="n"/>
      <c r="D1153" s="59" t="n"/>
      <c r="E1153" s="59" t="n"/>
      <c r="F1153" s="57" t="n"/>
      <c r="G1153" s="58" t="n"/>
      <c r="H1153" s="67" t="n"/>
      <c r="I1153" s="56" t="n"/>
      <c r="J1153" s="56" t="n"/>
      <c r="K1153" s="56" t="n"/>
      <c r="L1153" s="56" t="n"/>
      <c r="M1153" s="56" t="n"/>
      <c r="N1153" s="56" t="n"/>
      <c r="O1153" s="56" t="n"/>
      <c r="P1153" s="56" t="n"/>
      <c r="Q1153" s="56" t="n"/>
      <c r="R1153" s="56" t="n"/>
      <c r="S1153" s="56" t="n"/>
      <c r="T1153" s="56" t="n"/>
      <c r="U1153" s="56" t="n"/>
      <c r="V1153" s="56" t="n"/>
      <c r="W1153" s="56" t="n"/>
      <c r="X1153" s="56" t="n"/>
      <c r="Y1153" s="56" t="n"/>
      <c r="Z1153" s="56" t="n"/>
      <c r="AA1153" s="56" t="n"/>
      <c r="AB1153" s="56" t="n"/>
      <c r="AC1153" s="56" t="n"/>
      <c r="AD1153" s="56" t="n"/>
      <c r="AE1153" s="56" t="n"/>
      <c r="AF1153" s="56" t="n"/>
      <c r="AG1153" s="56" t="n"/>
      <c r="AH1153" s="56" t="n"/>
      <c r="AI1153" s="56" t="n"/>
      <c r="AJ1153" s="56" t="n"/>
    </row>
    <row r="1154" ht="24" customHeight="1" s="49">
      <c r="A1154" s="51" t="n"/>
      <c r="B1154" s="60" t="n"/>
      <c r="C1154" s="60" t="n"/>
      <c r="D1154" s="60" t="n"/>
      <c r="E1154" s="60" t="n"/>
      <c r="F1154" s="61" t="n"/>
      <c r="G1154" s="61" t="n"/>
      <c r="H1154" s="60" t="n"/>
      <c r="I1154" s="51" t="n"/>
      <c r="J1154" s="51" t="n"/>
      <c r="K1154" s="51" t="n"/>
      <c r="L1154" s="51" t="n"/>
      <c r="M1154" s="51" t="n"/>
      <c r="N1154" s="51" t="n"/>
      <c r="O1154" s="51" t="n"/>
      <c r="P1154" s="51" t="n"/>
      <c r="Q1154" s="51" t="n"/>
      <c r="R1154" s="51" t="n"/>
      <c r="S1154" s="51" t="n"/>
      <c r="T1154" s="51" t="n"/>
      <c r="U1154" s="51" t="n"/>
      <c r="V1154" s="51" t="n"/>
      <c r="W1154" s="51" t="n"/>
      <c r="X1154" s="51" t="n"/>
      <c r="Y1154" s="51" t="n"/>
      <c r="Z1154" s="51" t="n"/>
      <c r="AA1154" s="51" t="n"/>
      <c r="AB1154" s="51" t="n"/>
      <c r="AC1154" s="51" t="n"/>
      <c r="AD1154" s="51" t="n"/>
      <c r="AE1154" s="51" t="n"/>
      <c r="AF1154" s="51" t="n"/>
      <c r="AG1154" s="51" t="n"/>
      <c r="AH1154" s="51" t="n"/>
      <c r="AI1154" s="51" t="n"/>
      <c r="AJ1154" s="51" t="n"/>
    </row>
    <row r="1155" ht="24" customHeight="1" s="49">
      <c r="A1155" s="32" t="inlineStr">
        <is>
          <t>💡 Info</t>
        </is>
      </c>
      <c r="B1155" s="53" t="n"/>
      <c r="C1155" s="53" t="n"/>
      <c r="D1155" s="53" t="n"/>
      <c r="E1155" s="53" t="n"/>
      <c r="F1155" s="53" t="n"/>
      <c r="G1155" s="53" t="n"/>
      <c r="H1155" s="53" t="n"/>
      <c r="I1155" s="51" t="n"/>
      <c r="J1155" s="51" t="n"/>
      <c r="K1155" s="51" t="n"/>
      <c r="L1155" s="51" t="n"/>
      <c r="M1155" s="51" t="n"/>
      <c r="N1155" s="51" t="n"/>
      <c r="O1155" s="51" t="n"/>
      <c r="P1155" s="51" t="n"/>
      <c r="Q1155" s="51" t="n"/>
      <c r="R1155" s="51" t="n"/>
      <c r="S1155" s="51" t="n"/>
      <c r="T1155" s="51" t="n"/>
      <c r="U1155" s="51" t="n"/>
      <c r="V1155" s="51" t="n"/>
      <c r="W1155" s="51" t="n"/>
      <c r="X1155" s="51" t="n"/>
      <c r="Y1155" s="51" t="n"/>
      <c r="Z1155" s="51" t="n"/>
      <c r="AA1155" s="51" t="n"/>
      <c r="AB1155" s="51" t="n"/>
      <c r="AC1155" s="51" t="n"/>
      <c r="AD1155" s="51" t="n"/>
      <c r="AE1155" s="51" t="n"/>
      <c r="AF1155" s="51" t="n"/>
      <c r="AG1155" s="51" t="n"/>
      <c r="AH1155" s="51" t="n"/>
      <c r="AI1155" s="51" t="n"/>
      <c r="AJ1155" s="51" t="n"/>
    </row>
    <row r="1156" ht="24" customHeight="1" s="49">
      <c r="A1156" s="50" t="inlineStr">
        <is>
          <t>1. As of 2026-03-07 all sales &lt;0.7 USD will not be tracked.</t>
        </is>
      </c>
      <c r="B1156" s="63" t="n"/>
      <c r="C1156" s="63" t="n"/>
      <c r="D1156" s="63" t="n"/>
      <c r="E1156" s="63" t="n"/>
      <c r="F1156" s="63" t="n"/>
      <c r="G1156" s="63" t="n"/>
      <c r="H1156" s="63" t="n"/>
      <c r="I1156" s="51" t="n"/>
      <c r="J1156" s="51" t="n"/>
      <c r="K1156" s="51" t="n"/>
      <c r="L1156" s="51" t="n"/>
      <c r="M1156" s="51" t="n"/>
      <c r="N1156" s="51" t="n"/>
      <c r="O1156" s="51" t="n"/>
      <c r="P1156" s="51" t="n"/>
      <c r="Q1156" s="51" t="n"/>
      <c r="R1156" s="51" t="n"/>
      <c r="S1156" s="51" t="n"/>
      <c r="T1156" s="51" t="n"/>
      <c r="U1156" s="51" t="n"/>
      <c r="V1156" s="51" t="n"/>
      <c r="W1156" s="51" t="n"/>
      <c r="X1156" s="51" t="n"/>
      <c r="Y1156" s="51" t="n"/>
      <c r="Z1156" s="51" t="n"/>
      <c r="AA1156" s="51" t="n"/>
      <c r="AB1156" s="51" t="n"/>
      <c r="AC1156" s="51" t="n"/>
      <c r="AD1156" s="51" t="n"/>
      <c r="AE1156" s="51" t="n"/>
      <c r="AF1156" s="51" t="n"/>
      <c r="AG1156" s="51" t="n"/>
      <c r="AH1156" s="51" t="n"/>
      <c r="AI1156" s="51" t="n"/>
      <c r="AJ1156" s="51" t="n"/>
    </row>
    <row r="1157">
      <c r="A1157" s="50" t="inlineStr">
        <is>
          <t>2. Type Item Name in col A, Cost in col B, Sold Price in col C.</t>
        </is>
      </c>
      <c r="B1157" s="63" t="n"/>
      <c r="C1157" s="63" t="n"/>
      <c r="D1157" s="63" t="n"/>
      <c r="E1157" s="63" t="n"/>
      <c r="F1157" s="63" t="n"/>
      <c r="G1157" s="63" t="n"/>
      <c r="H1157" s="63" t="n"/>
      <c r="I1157" s="51" t="n"/>
      <c r="J1157" s="51" t="n"/>
      <c r="K1157" s="51" t="n"/>
      <c r="L1157" s="51" t="n"/>
      <c r="M1157" s="51" t="n"/>
      <c r="N1157" s="51" t="n"/>
      <c r="O1157" s="51" t="n"/>
      <c r="P1157" s="51" t="n"/>
      <c r="Q1157" s="51" t="n"/>
      <c r="R1157" s="51" t="n"/>
      <c r="S1157" s="51" t="n"/>
      <c r="T1157" s="51" t="n"/>
      <c r="U1157" s="51" t="n"/>
      <c r="V1157" s="51" t="n"/>
      <c r="W1157" s="51" t="n"/>
      <c r="X1157" s="51" t="n"/>
      <c r="Y1157" s="51" t="n"/>
      <c r="Z1157" s="51" t="n"/>
      <c r="AA1157" s="51" t="n"/>
      <c r="AB1157" s="51" t="n"/>
      <c r="AC1157" s="51" t="n"/>
      <c r="AD1157" s="51" t="n"/>
      <c r="AE1157" s="51" t="n"/>
      <c r="AF1157" s="51" t="n"/>
      <c r="AG1157" s="51" t="n"/>
      <c r="AH1157" s="51" t="n"/>
      <c r="AI1157" s="51" t="n"/>
      <c r="AJ1157" s="51" t="n"/>
    </row>
    <row r="1158" ht="19.5" customHeight="1" s="49">
      <c r="A1158" s="50" t="inlineStr">
        <is>
          <t>3. Fee, Net Sold, Profit and ROI % calculate automatically.</t>
        </is>
      </c>
      <c r="I1158" s="51" t="n"/>
      <c r="J1158" s="51" t="n"/>
      <c r="K1158" s="51" t="n"/>
      <c r="L1158" s="51" t="n"/>
      <c r="M1158" s="51" t="n"/>
      <c r="N1158" s="51" t="n"/>
      <c r="O1158" s="51" t="n"/>
      <c r="P1158" s="51" t="n"/>
      <c r="Q1158" s="51" t="n"/>
      <c r="R1158" s="51" t="n"/>
      <c r="S1158" s="51" t="n"/>
      <c r="T1158" s="51" t="n"/>
      <c r="U1158" s="51" t="n"/>
      <c r="V1158" s="51" t="n"/>
      <c r="W1158" s="51" t="n"/>
      <c r="X1158" s="51" t="n"/>
      <c r="Y1158" s="51" t="n"/>
      <c r="Z1158" s="51" t="n"/>
      <c r="AA1158" s="51" t="n"/>
      <c r="AB1158" s="51" t="n"/>
      <c r="AC1158" s="51" t="n"/>
      <c r="AD1158" s="51" t="n"/>
      <c r="AE1158" s="51" t="n"/>
      <c r="AF1158" s="51" t="n"/>
      <c r="AG1158" s="51" t="n"/>
      <c r="AH1158" s="51" t="n"/>
      <c r="AI1158" s="51" t="n"/>
      <c r="AJ1158" s="51" t="n"/>
    </row>
    <row r="1159" ht="19.5" customHeight="1" s="49">
      <c r="A1159" s="50" t="inlineStr">
        <is>
          <t>4. To change fee rate, update cell B1. All rows update instantly.</t>
        </is>
      </c>
      <c r="I1159" s="51" t="n"/>
      <c r="J1159" s="51" t="n"/>
      <c r="K1159" s="51" t="n"/>
      <c r="L1159" s="51" t="n"/>
      <c r="M1159" s="51" t="n"/>
      <c r="N1159" s="51" t="n"/>
      <c r="O1159" s="51" t="n"/>
      <c r="P1159" s="51" t="n"/>
      <c r="Q1159" s="51" t="n"/>
      <c r="R1159" s="51" t="n"/>
      <c r="S1159" s="51" t="n"/>
      <c r="T1159" s="51" t="n"/>
      <c r="U1159" s="51" t="n"/>
      <c r="V1159" s="51" t="n"/>
      <c r="W1159" s="51" t="n"/>
      <c r="X1159" s="51" t="n"/>
      <c r="Y1159" s="51" t="n"/>
      <c r="Z1159" s="51" t="n"/>
      <c r="AA1159" s="51" t="n"/>
      <c r="AB1159" s="51" t="n"/>
      <c r="AC1159" s="51" t="n"/>
      <c r="AD1159" s="51" t="n"/>
      <c r="AE1159" s="51" t="n"/>
      <c r="AF1159" s="51" t="n"/>
      <c r="AG1159" s="51" t="n"/>
      <c r="AH1159" s="51" t="n"/>
      <c r="AI1159" s="51" t="n"/>
      <c r="AJ1159" s="51" t="n"/>
    </row>
    <row r="1160" ht="19.5" customHeight="1" s="49">
      <c r="A1160" s="50" t="inlineStr">
        <is>
          <t>5. If you run out of rows, the next 1000 rows are pre-formatted!</t>
        </is>
      </c>
      <c r="I1160" s="51" t="n"/>
      <c r="J1160" s="51" t="n"/>
      <c r="K1160" s="51" t="n"/>
      <c r="L1160" s="51" t="n"/>
      <c r="M1160" s="51" t="n"/>
      <c r="N1160" s="51" t="n"/>
      <c r="O1160" s="51" t="n"/>
      <c r="P1160" s="51" t="n"/>
      <c r="Q1160" s="51" t="n"/>
      <c r="R1160" s="51" t="n"/>
      <c r="S1160" s="51" t="n"/>
      <c r="T1160" s="51" t="n"/>
      <c r="U1160" s="51" t="n"/>
      <c r="V1160" s="51" t="n"/>
      <c r="W1160" s="51" t="n"/>
      <c r="X1160" s="51" t="n"/>
      <c r="Y1160" s="51" t="n"/>
      <c r="Z1160" s="51" t="n"/>
      <c r="AA1160" s="51" t="n"/>
      <c r="AB1160" s="51" t="n"/>
      <c r="AC1160" s="51" t="n"/>
      <c r="AD1160" s="51" t="n"/>
      <c r="AE1160" s="51" t="n"/>
      <c r="AF1160" s="51" t="n"/>
      <c r="AG1160" s="51" t="n"/>
      <c r="AH1160" s="51" t="n"/>
      <c r="AI1160" s="51" t="n"/>
      <c r="AJ1160" s="51" t="n"/>
    </row>
    <row r="1161" ht="19.5" customHeight="1" s="49"/>
    <row r="1162" ht="19.5" customHeight="1" s="49"/>
    <row r="1163" ht="19.5" customHeight="1" s="49"/>
  </sheetData>
  <mergeCells count="6">
    <mergeCell ref="A1162:H1162"/>
    <mergeCell ref="A1158:H1158"/>
    <mergeCell ref="A1161:H1161"/>
    <mergeCell ref="A1163:H1163"/>
    <mergeCell ref="A1159:H1159"/>
    <mergeCell ref="A1160:H1160"/>
  </mergeCells>
  <hyperlinks>
    <hyperlink xmlns:r="http://schemas.openxmlformats.org/officeDocument/2006/relationships" ref="H145" r:id="rId1"/>
    <hyperlink xmlns:r="http://schemas.openxmlformats.org/officeDocument/2006/relationships" ref="H146" r:id="rId2"/>
    <hyperlink xmlns:r="http://schemas.openxmlformats.org/officeDocument/2006/relationships" ref="M146" r:id="rId3"/>
    <hyperlink xmlns:r="http://schemas.openxmlformats.org/officeDocument/2006/relationships" ref="R146" r:id="rId4"/>
    <hyperlink xmlns:r="http://schemas.openxmlformats.org/officeDocument/2006/relationships" ref="H147" r:id="rId5"/>
    <hyperlink xmlns:r="http://schemas.openxmlformats.org/officeDocument/2006/relationships" ref="H148" r:id="rId6"/>
    <hyperlink xmlns:r="http://schemas.openxmlformats.org/officeDocument/2006/relationships" ref="H149" r:id="rId7"/>
    <hyperlink xmlns:r="http://schemas.openxmlformats.org/officeDocument/2006/relationships" ref="H150" r:id="rId8"/>
    <hyperlink xmlns:r="http://schemas.openxmlformats.org/officeDocument/2006/relationships" ref="H151" r:id="rId9"/>
    <hyperlink xmlns:r="http://schemas.openxmlformats.org/officeDocument/2006/relationships" ref="H152" r:id="rId10"/>
    <hyperlink xmlns:r="http://schemas.openxmlformats.org/officeDocument/2006/relationships" ref="H153" r:id="rId11"/>
    <hyperlink xmlns:r="http://schemas.openxmlformats.org/officeDocument/2006/relationships" ref="H154" r:id="rId12"/>
    <hyperlink xmlns:r="http://schemas.openxmlformats.org/officeDocument/2006/relationships" ref="H155" r:id="rId13"/>
    <hyperlink xmlns:r="http://schemas.openxmlformats.org/officeDocument/2006/relationships" ref="H156" r:id="rId14"/>
    <hyperlink xmlns:r="http://schemas.openxmlformats.org/officeDocument/2006/relationships" ref="H157" r:id="rId15"/>
    <hyperlink xmlns:r="http://schemas.openxmlformats.org/officeDocument/2006/relationships" ref="H158" r:id="rId16"/>
    <hyperlink xmlns:r="http://schemas.openxmlformats.org/officeDocument/2006/relationships" ref="H159" r:id="rId17"/>
    <hyperlink xmlns:r="http://schemas.openxmlformats.org/officeDocument/2006/relationships" ref="H160" r:id="rId18"/>
    <hyperlink xmlns:r="http://schemas.openxmlformats.org/officeDocument/2006/relationships" ref="H161" r:id="rId19"/>
    <hyperlink xmlns:r="http://schemas.openxmlformats.org/officeDocument/2006/relationships" ref="H162" r:id="rId20"/>
    <hyperlink xmlns:r="http://schemas.openxmlformats.org/officeDocument/2006/relationships" ref="H163" r:id="rId21"/>
    <hyperlink xmlns:r="http://schemas.openxmlformats.org/officeDocument/2006/relationships" ref="H164" r:id="rId22"/>
    <hyperlink xmlns:r="http://schemas.openxmlformats.org/officeDocument/2006/relationships" ref="H165" r:id="rId23"/>
    <hyperlink xmlns:r="http://schemas.openxmlformats.org/officeDocument/2006/relationships" ref="L165" r:id="rId24"/>
    <hyperlink xmlns:r="http://schemas.openxmlformats.org/officeDocument/2006/relationships" ref="Q165" r:id="rId25"/>
    <hyperlink xmlns:r="http://schemas.openxmlformats.org/officeDocument/2006/relationships" ref="H166" r:id="rId26"/>
    <hyperlink xmlns:r="http://schemas.openxmlformats.org/officeDocument/2006/relationships" ref="H167" r:id="rId27"/>
    <hyperlink xmlns:r="http://schemas.openxmlformats.org/officeDocument/2006/relationships" ref="H168" r:id="rId28"/>
    <hyperlink xmlns:r="http://schemas.openxmlformats.org/officeDocument/2006/relationships" ref="H169" r:id="rId29"/>
    <hyperlink xmlns:r="http://schemas.openxmlformats.org/officeDocument/2006/relationships" ref="H170" r:id="rId30"/>
    <hyperlink xmlns:r="http://schemas.openxmlformats.org/officeDocument/2006/relationships" ref="H171" r:id="rId31"/>
    <hyperlink xmlns:r="http://schemas.openxmlformats.org/officeDocument/2006/relationships" ref="H172" r:id="rId32"/>
    <hyperlink xmlns:r="http://schemas.openxmlformats.org/officeDocument/2006/relationships" ref="H173" r:id="rId33"/>
    <hyperlink xmlns:r="http://schemas.openxmlformats.org/officeDocument/2006/relationships" ref="H174" r:id="rId34"/>
    <hyperlink xmlns:r="http://schemas.openxmlformats.org/officeDocument/2006/relationships" ref="H175" r:id="rId35"/>
    <hyperlink xmlns:r="http://schemas.openxmlformats.org/officeDocument/2006/relationships" ref="H176" r:id="rId36"/>
    <hyperlink xmlns:r="http://schemas.openxmlformats.org/officeDocument/2006/relationships" ref="H177" r:id="rId37"/>
    <hyperlink xmlns:r="http://schemas.openxmlformats.org/officeDocument/2006/relationships" ref="H178" r:id="rId38"/>
    <hyperlink xmlns:r="http://schemas.openxmlformats.org/officeDocument/2006/relationships" ref="H179" r:id="rId39"/>
    <hyperlink xmlns:r="http://schemas.openxmlformats.org/officeDocument/2006/relationships" ref="H180" r:id="rId40"/>
    <hyperlink xmlns:r="http://schemas.openxmlformats.org/officeDocument/2006/relationships" ref="H181" r:id="rId41"/>
    <hyperlink xmlns:r="http://schemas.openxmlformats.org/officeDocument/2006/relationships" ref="H182" r:id="rId42"/>
    <hyperlink xmlns:r="http://schemas.openxmlformats.org/officeDocument/2006/relationships" ref="H183" r:id="rId43"/>
    <hyperlink xmlns:r="http://schemas.openxmlformats.org/officeDocument/2006/relationships" ref="H184" r:id="rId44"/>
    <hyperlink xmlns:r="http://schemas.openxmlformats.org/officeDocument/2006/relationships" ref="H185" r:id="rId45"/>
    <hyperlink xmlns:r="http://schemas.openxmlformats.org/officeDocument/2006/relationships" ref="H186" r:id="rId46"/>
    <hyperlink xmlns:r="http://schemas.openxmlformats.org/officeDocument/2006/relationships" ref="L186" r:id="rId47"/>
    <hyperlink xmlns:r="http://schemas.openxmlformats.org/officeDocument/2006/relationships" ref="Q186" r:id="rId48"/>
    <hyperlink xmlns:r="http://schemas.openxmlformats.org/officeDocument/2006/relationships" ref="V186" r:id="rId49"/>
    <hyperlink xmlns:r="http://schemas.openxmlformats.org/officeDocument/2006/relationships" ref="AA186" r:id="rId50"/>
    <hyperlink xmlns:r="http://schemas.openxmlformats.org/officeDocument/2006/relationships" ref="AE186" r:id="rId51"/>
    <hyperlink xmlns:r="http://schemas.openxmlformats.org/officeDocument/2006/relationships" ref="AJ186" r:id="rId52"/>
    <hyperlink xmlns:r="http://schemas.openxmlformats.org/officeDocument/2006/relationships" ref="H187" r:id="rId53"/>
    <hyperlink xmlns:r="http://schemas.openxmlformats.org/officeDocument/2006/relationships" ref="H188" r:id="rId54"/>
    <hyperlink xmlns:r="http://schemas.openxmlformats.org/officeDocument/2006/relationships" ref="H189" r:id="rId55"/>
    <hyperlink xmlns:r="http://schemas.openxmlformats.org/officeDocument/2006/relationships" ref="H190" r:id="rId56"/>
    <hyperlink xmlns:r="http://schemas.openxmlformats.org/officeDocument/2006/relationships" ref="H191" r:id="rId57"/>
    <hyperlink xmlns:r="http://schemas.openxmlformats.org/officeDocument/2006/relationships" ref="H192" r:id="rId58"/>
    <hyperlink xmlns:r="http://schemas.openxmlformats.org/officeDocument/2006/relationships" ref="H193" r:id="rId59"/>
    <hyperlink xmlns:r="http://schemas.openxmlformats.org/officeDocument/2006/relationships" ref="H194" r:id="rId60"/>
    <hyperlink xmlns:r="http://schemas.openxmlformats.org/officeDocument/2006/relationships" ref="H195" r:id="rId61"/>
    <hyperlink xmlns:r="http://schemas.openxmlformats.org/officeDocument/2006/relationships" ref="H196" r:id="rId62"/>
    <hyperlink xmlns:r="http://schemas.openxmlformats.org/officeDocument/2006/relationships" ref="H197" r:id="rId63"/>
    <hyperlink xmlns:r="http://schemas.openxmlformats.org/officeDocument/2006/relationships" ref="H198" r:id="rId64"/>
    <hyperlink xmlns:r="http://schemas.openxmlformats.org/officeDocument/2006/relationships" ref="H199" r:id="rId65"/>
    <hyperlink xmlns:r="http://schemas.openxmlformats.org/officeDocument/2006/relationships" ref="H200" r:id="rId66"/>
    <hyperlink xmlns:r="http://schemas.openxmlformats.org/officeDocument/2006/relationships" ref="H201" r:id="rId67"/>
    <hyperlink xmlns:r="http://schemas.openxmlformats.org/officeDocument/2006/relationships" ref="H202" r:id="rId68"/>
    <hyperlink xmlns:r="http://schemas.openxmlformats.org/officeDocument/2006/relationships" ref="H203" r:id="rId69"/>
    <hyperlink xmlns:r="http://schemas.openxmlformats.org/officeDocument/2006/relationships" ref="H204" r:id="rId70"/>
    <hyperlink xmlns:r="http://schemas.openxmlformats.org/officeDocument/2006/relationships" ref="H205" r:id="rId71"/>
    <hyperlink xmlns:r="http://schemas.openxmlformats.org/officeDocument/2006/relationships" ref="H206" r:id="rId72"/>
    <hyperlink xmlns:r="http://schemas.openxmlformats.org/officeDocument/2006/relationships" ref="H207" r:id="rId73"/>
    <hyperlink xmlns:r="http://schemas.openxmlformats.org/officeDocument/2006/relationships" ref="H208" r:id="rId74"/>
    <hyperlink xmlns:r="http://schemas.openxmlformats.org/officeDocument/2006/relationships" ref="H209" r:id="rId75"/>
    <hyperlink xmlns:r="http://schemas.openxmlformats.org/officeDocument/2006/relationships" ref="H210" r:id="rId76"/>
    <hyperlink xmlns:r="http://schemas.openxmlformats.org/officeDocument/2006/relationships" ref="H211" r:id="rId77"/>
    <hyperlink xmlns:r="http://schemas.openxmlformats.org/officeDocument/2006/relationships" ref="H212" r:id="rId78"/>
    <hyperlink xmlns:r="http://schemas.openxmlformats.org/officeDocument/2006/relationships" ref="H213" r:id="rId79"/>
    <hyperlink xmlns:r="http://schemas.openxmlformats.org/officeDocument/2006/relationships" ref="H214" r:id="rId80"/>
    <hyperlink xmlns:r="http://schemas.openxmlformats.org/officeDocument/2006/relationships" ref="H215" r:id="rId81"/>
    <hyperlink xmlns:r="http://schemas.openxmlformats.org/officeDocument/2006/relationships" ref="H216" r:id="rId82"/>
    <hyperlink xmlns:r="http://schemas.openxmlformats.org/officeDocument/2006/relationships" ref="H217" r:id="rId83"/>
    <hyperlink xmlns:r="http://schemas.openxmlformats.org/officeDocument/2006/relationships" ref="H218" r:id="rId84"/>
    <hyperlink xmlns:r="http://schemas.openxmlformats.org/officeDocument/2006/relationships" ref="H219" r:id="rId85"/>
    <hyperlink xmlns:r="http://schemas.openxmlformats.org/officeDocument/2006/relationships" ref="H220" r:id="rId86"/>
    <hyperlink xmlns:r="http://schemas.openxmlformats.org/officeDocument/2006/relationships" ref="H221" r:id="rId87"/>
    <hyperlink xmlns:r="http://schemas.openxmlformats.org/officeDocument/2006/relationships" ref="H222" r:id="rId88"/>
    <hyperlink xmlns:r="http://schemas.openxmlformats.org/officeDocument/2006/relationships" ref="H223" r:id="rId89"/>
    <hyperlink xmlns:r="http://schemas.openxmlformats.org/officeDocument/2006/relationships" ref="H224" r:id="rId90"/>
    <hyperlink xmlns:r="http://schemas.openxmlformats.org/officeDocument/2006/relationships" ref="H225" r:id="rId91"/>
    <hyperlink xmlns:r="http://schemas.openxmlformats.org/officeDocument/2006/relationships" ref="H226" r:id="rId92"/>
    <hyperlink xmlns:r="http://schemas.openxmlformats.org/officeDocument/2006/relationships" ref="H227" r:id="rId93"/>
    <hyperlink xmlns:r="http://schemas.openxmlformats.org/officeDocument/2006/relationships" ref="H228" r:id="rId94"/>
    <hyperlink xmlns:r="http://schemas.openxmlformats.org/officeDocument/2006/relationships" ref="H229" r:id="rId95"/>
    <hyperlink xmlns:r="http://schemas.openxmlformats.org/officeDocument/2006/relationships" ref="H252" r:id="rId96"/>
    <hyperlink xmlns:r="http://schemas.openxmlformats.org/officeDocument/2006/relationships" ref="H253" r:id="rId97"/>
    <hyperlink xmlns:r="http://schemas.openxmlformats.org/officeDocument/2006/relationships" ref="H254" r:id="rId98"/>
    <hyperlink xmlns:r="http://schemas.openxmlformats.org/officeDocument/2006/relationships" ref="H255" r:id="rId99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2026-03-25T17:16:52Z</dcterms:created>
  <dcterms:modified xsi:type="dcterms:W3CDTF">2026-05-05T13:54:42Z</dcterms:modified>
  <cp:lastModifiedBy>Eric Song</cp:lastModifiedBy>
  <cp:revision>0</cp:revision>
</cp:coreProperties>
</file>