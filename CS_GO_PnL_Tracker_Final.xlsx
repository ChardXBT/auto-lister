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d.docs.live.net/58ED4BDE9F4BA336/Documents/"/>
    </mc:Choice>
  </mc:AlternateContent>
  <xr:revisionPtr revIDLastSave="0" documentId="8_{0A51B15A-540D-4305-B1A7-47BBDD610AE0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CSGO PnL Tracker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4" i="1" l="1"/>
  <c r="D189" i="1"/>
  <c r="E189" i="1" s="1"/>
  <c r="F189" i="1" s="1"/>
  <c r="G189" i="1"/>
  <c r="D187" i="1"/>
  <c r="D157" i="1"/>
  <c r="E157" i="1" s="1"/>
  <c r="B1152" i="1"/>
  <c r="B1151" i="1"/>
  <c r="B1150" i="1"/>
  <c r="G1147" i="1"/>
  <c r="F1147" i="1"/>
  <c r="E1147" i="1"/>
  <c r="D1147" i="1"/>
  <c r="G1146" i="1"/>
  <c r="F1146" i="1"/>
  <c r="E1146" i="1"/>
  <c r="D1146" i="1"/>
  <c r="G1145" i="1"/>
  <c r="F1145" i="1"/>
  <c r="E1145" i="1"/>
  <c r="D1145" i="1"/>
  <c r="G1144" i="1"/>
  <c r="F1144" i="1"/>
  <c r="E1144" i="1"/>
  <c r="D1144" i="1"/>
  <c r="G1143" i="1"/>
  <c r="F1143" i="1"/>
  <c r="E1143" i="1"/>
  <c r="D1143" i="1"/>
  <c r="G1142" i="1"/>
  <c r="F1142" i="1"/>
  <c r="E1142" i="1"/>
  <c r="D1142" i="1"/>
  <c r="G1141" i="1"/>
  <c r="F1141" i="1"/>
  <c r="E1141" i="1"/>
  <c r="D1141" i="1"/>
  <c r="G1140" i="1"/>
  <c r="F1140" i="1"/>
  <c r="E1140" i="1"/>
  <c r="D1140" i="1"/>
  <c r="G1139" i="1"/>
  <c r="F1139" i="1"/>
  <c r="E1139" i="1"/>
  <c r="D1139" i="1"/>
  <c r="G1138" i="1"/>
  <c r="F1138" i="1"/>
  <c r="E1138" i="1"/>
  <c r="D1138" i="1"/>
  <c r="G1137" i="1"/>
  <c r="F1137" i="1"/>
  <c r="E1137" i="1"/>
  <c r="D1137" i="1"/>
  <c r="G1136" i="1"/>
  <c r="F1136" i="1"/>
  <c r="E1136" i="1"/>
  <c r="D1136" i="1"/>
  <c r="G1135" i="1"/>
  <c r="F1135" i="1"/>
  <c r="E1135" i="1"/>
  <c r="D1135" i="1"/>
  <c r="G1134" i="1"/>
  <c r="F1134" i="1"/>
  <c r="E1134" i="1"/>
  <c r="D1134" i="1"/>
  <c r="G1133" i="1"/>
  <c r="F1133" i="1"/>
  <c r="E1133" i="1"/>
  <c r="D1133" i="1"/>
  <c r="G1132" i="1"/>
  <c r="F1132" i="1"/>
  <c r="E1132" i="1"/>
  <c r="D1132" i="1"/>
  <c r="G1131" i="1"/>
  <c r="F1131" i="1"/>
  <c r="E1131" i="1"/>
  <c r="D1131" i="1"/>
  <c r="G1130" i="1"/>
  <c r="F1130" i="1"/>
  <c r="E1130" i="1"/>
  <c r="D1130" i="1"/>
  <c r="G1129" i="1"/>
  <c r="F1129" i="1"/>
  <c r="E1129" i="1"/>
  <c r="D1129" i="1"/>
  <c r="G1128" i="1"/>
  <c r="F1128" i="1"/>
  <c r="E1128" i="1"/>
  <c r="D1128" i="1"/>
  <c r="G1127" i="1"/>
  <c r="F1127" i="1"/>
  <c r="E1127" i="1"/>
  <c r="D1127" i="1"/>
  <c r="G1126" i="1"/>
  <c r="F1126" i="1"/>
  <c r="E1126" i="1"/>
  <c r="D1126" i="1"/>
  <c r="G1125" i="1"/>
  <c r="F1125" i="1"/>
  <c r="E1125" i="1"/>
  <c r="D1125" i="1"/>
  <c r="G1124" i="1"/>
  <c r="F1124" i="1"/>
  <c r="E1124" i="1"/>
  <c r="D1124" i="1"/>
  <c r="G1123" i="1"/>
  <c r="F1123" i="1"/>
  <c r="E1123" i="1"/>
  <c r="D1123" i="1"/>
  <c r="G1122" i="1"/>
  <c r="F1122" i="1"/>
  <c r="E1122" i="1"/>
  <c r="D1122" i="1"/>
  <c r="G1121" i="1"/>
  <c r="F1121" i="1"/>
  <c r="E1121" i="1"/>
  <c r="D1121" i="1"/>
  <c r="G1120" i="1"/>
  <c r="F1120" i="1"/>
  <c r="E1120" i="1"/>
  <c r="D1120" i="1"/>
  <c r="G1119" i="1"/>
  <c r="F1119" i="1"/>
  <c r="E1119" i="1"/>
  <c r="D1119" i="1"/>
  <c r="G1118" i="1"/>
  <c r="F1118" i="1"/>
  <c r="E1118" i="1"/>
  <c r="D1118" i="1"/>
  <c r="G1117" i="1"/>
  <c r="F1117" i="1"/>
  <c r="E1117" i="1"/>
  <c r="D1117" i="1"/>
  <c r="G1116" i="1"/>
  <c r="F1116" i="1"/>
  <c r="E1116" i="1"/>
  <c r="D1116" i="1"/>
  <c r="G1115" i="1"/>
  <c r="F1115" i="1"/>
  <c r="E1115" i="1"/>
  <c r="D1115" i="1"/>
  <c r="G1114" i="1"/>
  <c r="F1114" i="1"/>
  <c r="E1114" i="1"/>
  <c r="D1114" i="1"/>
  <c r="G1113" i="1"/>
  <c r="F1113" i="1"/>
  <c r="E1113" i="1"/>
  <c r="D1113" i="1"/>
  <c r="G1112" i="1"/>
  <c r="F1112" i="1"/>
  <c r="E1112" i="1"/>
  <c r="D1112" i="1"/>
  <c r="G1111" i="1"/>
  <c r="F1111" i="1"/>
  <c r="E1111" i="1"/>
  <c r="D1111" i="1"/>
  <c r="G1110" i="1"/>
  <c r="F1110" i="1"/>
  <c r="E1110" i="1"/>
  <c r="D1110" i="1"/>
  <c r="G1109" i="1"/>
  <c r="F1109" i="1"/>
  <c r="E1109" i="1"/>
  <c r="D1109" i="1"/>
  <c r="G1108" i="1"/>
  <c r="F1108" i="1"/>
  <c r="E1108" i="1"/>
  <c r="D1108" i="1"/>
  <c r="G1107" i="1"/>
  <c r="F1107" i="1"/>
  <c r="E1107" i="1"/>
  <c r="D1107" i="1"/>
  <c r="G1106" i="1"/>
  <c r="F1106" i="1"/>
  <c r="E1106" i="1"/>
  <c r="D1106" i="1"/>
  <c r="G1105" i="1"/>
  <c r="F1105" i="1"/>
  <c r="E1105" i="1"/>
  <c r="D1105" i="1"/>
  <c r="G1104" i="1"/>
  <c r="F1104" i="1"/>
  <c r="E1104" i="1"/>
  <c r="D1104" i="1"/>
  <c r="G1103" i="1"/>
  <c r="F1103" i="1"/>
  <c r="E1103" i="1"/>
  <c r="D1103" i="1"/>
  <c r="G1102" i="1"/>
  <c r="F1102" i="1"/>
  <c r="E1102" i="1"/>
  <c r="D1102" i="1"/>
  <c r="G1101" i="1"/>
  <c r="F1101" i="1"/>
  <c r="E1101" i="1"/>
  <c r="D1101" i="1"/>
  <c r="G1100" i="1"/>
  <c r="F1100" i="1"/>
  <c r="E1100" i="1"/>
  <c r="D1100" i="1"/>
  <c r="G1099" i="1"/>
  <c r="F1099" i="1"/>
  <c r="E1099" i="1"/>
  <c r="D1099" i="1"/>
  <c r="G1098" i="1"/>
  <c r="F1098" i="1"/>
  <c r="E1098" i="1"/>
  <c r="D1098" i="1"/>
  <c r="G1097" i="1"/>
  <c r="F1097" i="1"/>
  <c r="E1097" i="1"/>
  <c r="D1097" i="1"/>
  <c r="G1096" i="1"/>
  <c r="F1096" i="1"/>
  <c r="E1096" i="1"/>
  <c r="D1096" i="1"/>
  <c r="G1095" i="1"/>
  <c r="F1095" i="1"/>
  <c r="E1095" i="1"/>
  <c r="D1095" i="1"/>
  <c r="G1094" i="1"/>
  <c r="F1094" i="1"/>
  <c r="E1094" i="1"/>
  <c r="D1094" i="1"/>
  <c r="G1093" i="1"/>
  <c r="F1093" i="1"/>
  <c r="E1093" i="1"/>
  <c r="D1093" i="1"/>
  <c r="G1092" i="1"/>
  <c r="F1092" i="1"/>
  <c r="E1092" i="1"/>
  <c r="D1092" i="1"/>
  <c r="G1091" i="1"/>
  <c r="F1091" i="1"/>
  <c r="E1091" i="1"/>
  <c r="D1091" i="1"/>
  <c r="G1090" i="1"/>
  <c r="F1090" i="1"/>
  <c r="E1090" i="1"/>
  <c r="D1090" i="1"/>
  <c r="G1089" i="1"/>
  <c r="F1089" i="1"/>
  <c r="E1089" i="1"/>
  <c r="D1089" i="1"/>
  <c r="G1088" i="1"/>
  <c r="F1088" i="1"/>
  <c r="E1088" i="1"/>
  <c r="D1088" i="1"/>
  <c r="G1087" i="1"/>
  <c r="F1087" i="1"/>
  <c r="E1087" i="1"/>
  <c r="D1087" i="1"/>
  <c r="G1086" i="1"/>
  <c r="F1086" i="1"/>
  <c r="E1086" i="1"/>
  <c r="D1086" i="1"/>
  <c r="G1085" i="1"/>
  <c r="F1085" i="1"/>
  <c r="E1085" i="1"/>
  <c r="D1085" i="1"/>
  <c r="G1084" i="1"/>
  <c r="F1084" i="1"/>
  <c r="E1084" i="1"/>
  <c r="D1084" i="1"/>
  <c r="G1083" i="1"/>
  <c r="F1083" i="1"/>
  <c r="E1083" i="1"/>
  <c r="D1083" i="1"/>
  <c r="G1082" i="1"/>
  <c r="F1082" i="1"/>
  <c r="E1082" i="1"/>
  <c r="D1082" i="1"/>
  <c r="G1081" i="1"/>
  <c r="F1081" i="1"/>
  <c r="E1081" i="1"/>
  <c r="D1081" i="1"/>
  <c r="G1080" i="1"/>
  <c r="F1080" i="1"/>
  <c r="E1080" i="1"/>
  <c r="D1080" i="1"/>
  <c r="G1079" i="1"/>
  <c r="F1079" i="1"/>
  <c r="E1079" i="1"/>
  <c r="D1079" i="1"/>
  <c r="G1078" i="1"/>
  <c r="F1078" i="1"/>
  <c r="E1078" i="1"/>
  <c r="D1078" i="1"/>
  <c r="G1077" i="1"/>
  <c r="F1077" i="1"/>
  <c r="E1077" i="1"/>
  <c r="D1077" i="1"/>
  <c r="G1076" i="1"/>
  <c r="F1076" i="1"/>
  <c r="E1076" i="1"/>
  <c r="D1076" i="1"/>
  <c r="G1075" i="1"/>
  <c r="F1075" i="1"/>
  <c r="E1075" i="1"/>
  <c r="D1075" i="1"/>
  <c r="G1074" i="1"/>
  <c r="F1074" i="1"/>
  <c r="E1074" i="1"/>
  <c r="D1074" i="1"/>
  <c r="G1073" i="1"/>
  <c r="F1073" i="1"/>
  <c r="E1073" i="1"/>
  <c r="D1073" i="1"/>
  <c r="G1072" i="1"/>
  <c r="F1072" i="1"/>
  <c r="E1072" i="1"/>
  <c r="D1072" i="1"/>
  <c r="G1071" i="1"/>
  <c r="F1071" i="1"/>
  <c r="E1071" i="1"/>
  <c r="D1071" i="1"/>
  <c r="G1070" i="1"/>
  <c r="F1070" i="1"/>
  <c r="E1070" i="1"/>
  <c r="D1070" i="1"/>
  <c r="G1069" i="1"/>
  <c r="F1069" i="1"/>
  <c r="E1069" i="1"/>
  <c r="D1069" i="1"/>
  <c r="G1068" i="1"/>
  <c r="F1068" i="1"/>
  <c r="E1068" i="1"/>
  <c r="D1068" i="1"/>
  <c r="G1067" i="1"/>
  <c r="F1067" i="1"/>
  <c r="E1067" i="1"/>
  <c r="D1067" i="1"/>
  <c r="G1066" i="1"/>
  <c r="F1066" i="1"/>
  <c r="E1066" i="1"/>
  <c r="D1066" i="1"/>
  <c r="G1065" i="1"/>
  <c r="F1065" i="1"/>
  <c r="E1065" i="1"/>
  <c r="D1065" i="1"/>
  <c r="G1064" i="1"/>
  <c r="F1064" i="1"/>
  <c r="E1064" i="1"/>
  <c r="D1064" i="1"/>
  <c r="G1063" i="1"/>
  <c r="F1063" i="1"/>
  <c r="E1063" i="1"/>
  <c r="D1063" i="1"/>
  <c r="G1062" i="1"/>
  <c r="F1062" i="1"/>
  <c r="E1062" i="1"/>
  <c r="D1062" i="1"/>
  <c r="G1061" i="1"/>
  <c r="F1061" i="1"/>
  <c r="E1061" i="1"/>
  <c r="D1061" i="1"/>
  <c r="G1060" i="1"/>
  <c r="F1060" i="1"/>
  <c r="E1060" i="1"/>
  <c r="D1060" i="1"/>
  <c r="G1059" i="1"/>
  <c r="F1059" i="1"/>
  <c r="E1059" i="1"/>
  <c r="D1059" i="1"/>
  <c r="G1058" i="1"/>
  <c r="F1058" i="1"/>
  <c r="E1058" i="1"/>
  <c r="D1058" i="1"/>
  <c r="G1057" i="1"/>
  <c r="F1057" i="1"/>
  <c r="E1057" i="1"/>
  <c r="D1057" i="1"/>
  <c r="G1056" i="1"/>
  <c r="F1056" i="1"/>
  <c r="E1056" i="1"/>
  <c r="D1056" i="1"/>
  <c r="G1055" i="1"/>
  <c r="F1055" i="1"/>
  <c r="E1055" i="1"/>
  <c r="D1055" i="1"/>
  <c r="G1054" i="1"/>
  <c r="F1054" i="1"/>
  <c r="E1054" i="1"/>
  <c r="D1054" i="1"/>
  <c r="G1053" i="1"/>
  <c r="F1053" i="1"/>
  <c r="E1053" i="1"/>
  <c r="D1053" i="1"/>
  <c r="G1052" i="1"/>
  <c r="F1052" i="1"/>
  <c r="E1052" i="1"/>
  <c r="D1052" i="1"/>
  <c r="G1051" i="1"/>
  <c r="F1051" i="1"/>
  <c r="E1051" i="1"/>
  <c r="D1051" i="1"/>
  <c r="G1050" i="1"/>
  <c r="F1050" i="1"/>
  <c r="E1050" i="1"/>
  <c r="D1050" i="1"/>
  <c r="G1049" i="1"/>
  <c r="F1049" i="1"/>
  <c r="E1049" i="1"/>
  <c r="D1049" i="1"/>
  <c r="G1048" i="1"/>
  <c r="F1048" i="1"/>
  <c r="E1048" i="1"/>
  <c r="D1048" i="1"/>
  <c r="G1047" i="1"/>
  <c r="F1047" i="1"/>
  <c r="E1047" i="1"/>
  <c r="D1047" i="1"/>
  <c r="G1046" i="1"/>
  <c r="F1046" i="1"/>
  <c r="E1046" i="1"/>
  <c r="D1046" i="1"/>
  <c r="G1045" i="1"/>
  <c r="F1045" i="1"/>
  <c r="E1045" i="1"/>
  <c r="D1045" i="1"/>
  <c r="G1044" i="1"/>
  <c r="F1044" i="1"/>
  <c r="E1044" i="1"/>
  <c r="D1044" i="1"/>
  <c r="G1043" i="1"/>
  <c r="F1043" i="1"/>
  <c r="E1043" i="1"/>
  <c r="D1043" i="1"/>
  <c r="G1042" i="1"/>
  <c r="F1042" i="1"/>
  <c r="E1042" i="1"/>
  <c r="D1042" i="1"/>
  <c r="G1041" i="1"/>
  <c r="F1041" i="1"/>
  <c r="E1041" i="1"/>
  <c r="D1041" i="1"/>
  <c r="G1040" i="1"/>
  <c r="F1040" i="1"/>
  <c r="E1040" i="1"/>
  <c r="D1040" i="1"/>
  <c r="G1039" i="1"/>
  <c r="F1039" i="1"/>
  <c r="E1039" i="1"/>
  <c r="D1039" i="1"/>
  <c r="G1038" i="1"/>
  <c r="F1038" i="1"/>
  <c r="E1038" i="1"/>
  <c r="D1038" i="1"/>
  <c r="G1037" i="1"/>
  <c r="F1037" i="1"/>
  <c r="E1037" i="1"/>
  <c r="D1037" i="1"/>
  <c r="G1036" i="1"/>
  <c r="F1036" i="1"/>
  <c r="E1036" i="1"/>
  <c r="D1036" i="1"/>
  <c r="G1035" i="1"/>
  <c r="F1035" i="1"/>
  <c r="E1035" i="1"/>
  <c r="D1035" i="1"/>
  <c r="G1034" i="1"/>
  <c r="F1034" i="1"/>
  <c r="E1034" i="1"/>
  <c r="D1034" i="1"/>
  <c r="G1033" i="1"/>
  <c r="F1033" i="1"/>
  <c r="E1033" i="1"/>
  <c r="D1033" i="1"/>
  <c r="G1032" i="1"/>
  <c r="F1032" i="1"/>
  <c r="E1032" i="1"/>
  <c r="D1032" i="1"/>
  <c r="G1031" i="1"/>
  <c r="F1031" i="1"/>
  <c r="E1031" i="1"/>
  <c r="D1031" i="1"/>
  <c r="G1030" i="1"/>
  <c r="F1030" i="1"/>
  <c r="E1030" i="1"/>
  <c r="D1030" i="1"/>
  <c r="G1029" i="1"/>
  <c r="F1029" i="1"/>
  <c r="E1029" i="1"/>
  <c r="D1029" i="1"/>
  <c r="G1028" i="1"/>
  <c r="F1028" i="1"/>
  <c r="E1028" i="1"/>
  <c r="D1028" i="1"/>
  <c r="G1027" i="1"/>
  <c r="F1027" i="1"/>
  <c r="E1027" i="1"/>
  <c r="D1027" i="1"/>
  <c r="G1026" i="1"/>
  <c r="F1026" i="1"/>
  <c r="E1026" i="1"/>
  <c r="D1026" i="1"/>
  <c r="G1025" i="1"/>
  <c r="F1025" i="1"/>
  <c r="E1025" i="1"/>
  <c r="D1025" i="1"/>
  <c r="G1024" i="1"/>
  <c r="F1024" i="1"/>
  <c r="E1024" i="1"/>
  <c r="D1024" i="1"/>
  <c r="G1023" i="1"/>
  <c r="F1023" i="1"/>
  <c r="E1023" i="1"/>
  <c r="D1023" i="1"/>
  <c r="G1022" i="1"/>
  <c r="F1022" i="1"/>
  <c r="E1022" i="1"/>
  <c r="D1022" i="1"/>
  <c r="G1021" i="1"/>
  <c r="F1021" i="1"/>
  <c r="E1021" i="1"/>
  <c r="D1021" i="1"/>
  <c r="G1020" i="1"/>
  <c r="F1020" i="1"/>
  <c r="E1020" i="1"/>
  <c r="D1020" i="1"/>
  <c r="G1019" i="1"/>
  <c r="F1019" i="1"/>
  <c r="E1019" i="1"/>
  <c r="D1019" i="1"/>
  <c r="G1018" i="1"/>
  <c r="F1018" i="1"/>
  <c r="E1018" i="1"/>
  <c r="D1018" i="1"/>
  <c r="G1017" i="1"/>
  <c r="F1017" i="1"/>
  <c r="E1017" i="1"/>
  <c r="D1017" i="1"/>
  <c r="G1016" i="1"/>
  <c r="F1016" i="1"/>
  <c r="E1016" i="1"/>
  <c r="D1016" i="1"/>
  <c r="G1015" i="1"/>
  <c r="F1015" i="1"/>
  <c r="E1015" i="1"/>
  <c r="D1015" i="1"/>
  <c r="G1014" i="1"/>
  <c r="F1014" i="1"/>
  <c r="E1014" i="1"/>
  <c r="D1014" i="1"/>
  <c r="G1013" i="1"/>
  <c r="F1013" i="1"/>
  <c r="E1013" i="1"/>
  <c r="D1013" i="1"/>
  <c r="G1012" i="1"/>
  <c r="F1012" i="1"/>
  <c r="E1012" i="1"/>
  <c r="D1012" i="1"/>
  <c r="G1011" i="1"/>
  <c r="F1011" i="1"/>
  <c r="E1011" i="1"/>
  <c r="D1011" i="1"/>
  <c r="G1010" i="1"/>
  <c r="F1010" i="1"/>
  <c r="E1010" i="1"/>
  <c r="D1010" i="1"/>
  <c r="G1009" i="1"/>
  <c r="F1009" i="1"/>
  <c r="E1009" i="1"/>
  <c r="D1009" i="1"/>
  <c r="G1008" i="1"/>
  <c r="F1008" i="1"/>
  <c r="E1008" i="1"/>
  <c r="D1008" i="1"/>
  <c r="G1007" i="1"/>
  <c r="F1007" i="1"/>
  <c r="E1007" i="1"/>
  <c r="D1007" i="1"/>
  <c r="G1006" i="1"/>
  <c r="F1006" i="1"/>
  <c r="E1006" i="1"/>
  <c r="D1006" i="1"/>
  <c r="G1005" i="1"/>
  <c r="F1005" i="1"/>
  <c r="E1005" i="1"/>
  <c r="D1005" i="1"/>
  <c r="G1004" i="1"/>
  <c r="F1004" i="1"/>
  <c r="E1004" i="1"/>
  <c r="D1004" i="1"/>
  <c r="G1003" i="1"/>
  <c r="F1003" i="1"/>
  <c r="E1003" i="1"/>
  <c r="D1003" i="1"/>
  <c r="G1002" i="1"/>
  <c r="F1002" i="1"/>
  <c r="E1002" i="1"/>
  <c r="D1002" i="1"/>
  <c r="G1001" i="1"/>
  <c r="F1001" i="1"/>
  <c r="E1001" i="1"/>
  <c r="D1001" i="1"/>
  <c r="G1000" i="1"/>
  <c r="F1000" i="1"/>
  <c r="E1000" i="1"/>
  <c r="D1000" i="1"/>
  <c r="G999" i="1"/>
  <c r="F999" i="1"/>
  <c r="E999" i="1"/>
  <c r="D999" i="1"/>
  <c r="G998" i="1"/>
  <c r="F998" i="1"/>
  <c r="E998" i="1"/>
  <c r="D998" i="1"/>
  <c r="G997" i="1"/>
  <c r="F997" i="1"/>
  <c r="E997" i="1"/>
  <c r="D997" i="1"/>
  <c r="G996" i="1"/>
  <c r="F996" i="1"/>
  <c r="E996" i="1"/>
  <c r="D996" i="1"/>
  <c r="G995" i="1"/>
  <c r="F995" i="1"/>
  <c r="E995" i="1"/>
  <c r="D995" i="1"/>
  <c r="G994" i="1"/>
  <c r="F994" i="1"/>
  <c r="E994" i="1"/>
  <c r="D994" i="1"/>
  <c r="G993" i="1"/>
  <c r="F993" i="1"/>
  <c r="E993" i="1"/>
  <c r="D993" i="1"/>
  <c r="G992" i="1"/>
  <c r="F992" i="1"/>
  <c r="E992" i="1"/>
  <c r="D992" i="1"/>
  <c r="G991" i="1"/>
  <c r="F991" i="1"/>
  <c r="E991" i="1"/>
  <c r="D991" i="1"/>
  <c r="G990" i="1"/>
  <c r="F990" i="1"/>
  <c r="E990" i="1"/>
  <c r="D990" i="1"/>
  <c r="G989" i="1"/>
  <c r="F989" i="1"/>
  <c r="E989" i="1"/>
  <c r="D989" i="1"/>
  <c r="G988" i="1"/>
  <c r="F988" i="1"/>
  <c r="E988" i="1"/>
  <c r="D988" i="1"/>
  <c r="G987" i="1"/>
  <c r="F987" i="1"/>
  <c r="E987" i="1"/>
  <c r="D987" i="1"/>
  <c r="G986" i="1"/>
  <c r="F986" i="1"/>
  <c r="E986" i="1"/>
  <c r="D986" i="1"/>
  <c r="G985" i="1"/>
  <c r="F985" i="1"/>
  <c r="E985" i="1"/>
  <c r="D985" i="1"/>
  <c r="G984" i="1"/>
  <c r="F984" i="1"/>
  <c r="E984" i="1"/>
  <c r="D984" i="1"/>
  <c r="G983" i="1"/>
  <c r="F983" i="1"/>
  <c r="E983" i="1"/>
  <c r="D983" i="1"/>
  <c r="G982" i="1"/>
  <c r="F982" i="1"/>
  <c r="E982" i="1"/>
  <c r="D982" i="1"/>
  <c r="G981" i="1"/>
  <c r="F981" i="1"/>
  <c r="E981" i="1"/>
  <c r="D981" i="1"/>
  <c r="G980" i="1"/>
  <c r="F980" i="1"/>
  <c r="E980" i="1"/>
  <c r="D980" i="1"/>
  <c r="G979" i="1"/>
  <c r="F979" i="1"/>
  <c r="E979" i="1"/>
  <c r="D979" i="1"/>
  <c r="G978" i="1"/>
  <c r="F978" i="1"/>
  <c r="E978" i="1"/>
  <c r="D978" i="1"/>
  <c r="G977" i="1"/>
  <c r="F977" i="1"/>
  <c r="E977" i="1"/>
  <c r="D977" i="1"/>
  <c r="G976" i="1"/>
  <c r="F976" i="1"/>
  <c r="E976" i="1"/>
  <c r="D976" i="1"/>
  <c r="G975" i="1"/>
  <c r="F975" i="1"/>
  <c r="E975" i="1"/>
  <c r="D975" i="1"/>
  <c r="G974" i="1"/>
  <c r="F974" i="1"/>
  <c r="E974" i="1"/>
  <c r="D974" i="1"/>
  <c r="G973" i="1"/>
  <c r="F973" i="1"/>
  <c r="E973" i="1"/>
  <c r="D973" i="1"/>
  <c r="G972" i="1"/>
  <c r="F972" i="1"/>
  <c r="E972" i="1"/>
  <c r="D972" i="1"/>
  <c r="G971" i="1"/>
  <c r="F971" i="1"/>
  <c r="E971" i="1"/>
  <c r="D971" i="1"/>
  <c r="G970" i="1"/>
  <c r="F970" i="1"/>
  <c r="E970" i="1"/>
  <c r="D970" i="1"/>
  <c r="G969" i="1"/>
  <c r="F969" i="1"/>
  <c r="E969" i="1"/>
  <c r="D969" i="1"/>
  <c r="G968" i="1"/>
  <c r="F968" i="1"/>
  <c r="E968" i="1"/>
  <c r="D968" i="1"/>
  <c r="G967" i="1"/>
  <c r="F967" i="1"/>
  <c r="E967" i="1"/>
  <c r="D967" i="1"/>
  <c r="G966" i="1"/>
  <c r="F966" i="1"/>
  <c r="E966" i="1"/>
  <c r="D966" i="1"/>
  <c r="G965" i="1"/>
  <c r="F965" i="1"/>
  <c r="E965" i="1"/>
  <c r="D965" i="1"/>
  <c r="G964" i="1"/>
  <c r="F964" i="1"/>
  <c r="E964" i="1"/>
  <c r="D964" i="1"/>
  <c r="G963" i="1"/>
  <c r="F963" i="1"/>
  <c r="E963" i="1"/>
  <c r="D963" i="1"/>
  <c r="G962" i="1"/>
  <c r="F962" i="1"/>
  <c r="E962" i="1"/>
  <c r="D962" i="1"/>
  <c r="G961" i="1"/>
  <c r="F961" i="1"/>
  <c r="E961" i="1"/>
  <c r="D961" i="1"/>
  <c r="G960" i="1"/>
  <c r="F960" i="1"/>
  <c r="E960" i="1"/>
  <c r="D960" i="1"/>
  <c r="G959" i="1"/>
  <c r="F959" i="1"/>
  <c r="E959" i="1"/>
  <c r="D959" i="1"/>
  <c r="G958" i="1"/>
  <c r="F958" i="1"/>
  <c r="E958" i="1"/>
  <c r="D958" i="1"/>
  <c r="G957" i="1"/>
  <c r="F957" i="1"/>
  <c r="E957" i="1"/>
  <c r="D957" i="1"/>
  <c r="G956" i="1"/>
  <c r="F956" i="1"/>
  <c r="E956" i="1"/>
  <c r="D956" i="1"/>
  <c r="G955" i="1"/>
  <c r="F955" i="1"/>
  <c r="E955" i="1"/>
  <c r="D955" i="1"/>
  <c r="G954" i="1"/>
  <c r="F954" i="1"/>
  <c r="E954" i="1"/>
  <c r="D954" i="1"/>
  <c r="G953" i="1"/>
  <c r="F953" i="1"/>
  <c r="E953" i="1"/>
  <c r="D953" i="1"/>
  <c r="G952" i="1"/>
  <c r="F952" i="1"/>
  <c r="E952" i="1"/>
  <c r="D952" i="1"/>
  <c r="G951" i="1"/>
  <c r="F951" i="1"/>
  <c r="E951" i="1"/>
  <c r="D951" i="1"/>
  <c r="G950" i="1"/>
  <c r="F950" i="1"/>
  <c r="E950" i="1"/>
  <c r="D950" i="1"/>
  <c r="G949" i="1"/>
  <c r="F949" i="1"/>
  <c r="E949" i="1"/>
  <c r="D949" i="1"/>
  <c r="G948" i="1"/>
  <c r="F948" i="1"/>
  <c r="E948" i="1"/>
  <c r="D948" i="1"/>
  <c r="G947" i="1"/>
  <c r="F947" i="1"/>
  <c r="E947" i="1"/>
  <c r="D947" i="1"/>
  <c r="G946" i="1"/>
  <c r="F946" i="1"/>
  <c r="E946" i="1"/>
  <c r="D946" i="1"/>
  <c r="G945" i="1"/>
  <c r="F945" i="1"/>
  <c r="E945" i="1"/>
  <c r="D945" i="1"/>
  <c r="G944" i="1"/>
  <c r="F944" i="1"/>
  <c r="E944" i="1"/>
  <c r="D944" i="1"/>
  <c r="G943" i="1"/>
  <c r="F943" i="1"/>
  <c r="E943" i="1"/>
  <c r="D943" i="1"/>
  <c r="G942" i="1"/>
  <c r="F942" i="1"/>
  <c r="E942" i="1"/>
  <c r="D942" i="1"/>
  <c r="G941" i="1"/>
  <c r="F941" i="1"/>
  <c r="E941" i="1"/>
  <c r="D941" i="1"/>
  <c r="G940" i="1"/>
  <c r="F940" i="1"/>
  <c r="E940" i="1"/>
  <c r="D940" i="1"/>
  <c r="G939" i="1"/>
  <c r="F939" i="1"/>
  <c r="E939" i="1"/>
  <c r="D939" i="1"/>
  <c r="G938" i="1"/>
  <c r="F938" i="1"/>
  <c r="E938" i="1"/>
  <c r="D938" i="1"/>
  <c r="G937" i="1"/>
  <c r="F937" i="1"/>
  <c r="E937" i="1"/>
  <c r="D937" i="1"/>
  <c r="G936" i="1"/>
  <c r="F936" i="1"/>
  <c r="E936" i="1"/>
  <c r="D936" i="1"/>
  <c r="G935" i="1"/>
  <c r="F935" i="1"/>
  <c r="E935" i="1"/>
  <c r="D935" i="1"/>
  <c r="G934" i="1"/>
  <c r="F934" i="1"/>
  <c r="E934" i="1"/>
  <c r="D934" i="1"/>
  <c r="G933" i="1"/>
  <c r="F933" i="1"/>
  <c r="E933" i="1"/>
  <c r="D933" i="1"/>
  <c r="G932" i="1"/>
  <c r="F932" i="1"/>
  <c r="E932" i="1"/>
  <c r="D932" i="1"/>
  <c r="G931" i="1"/>
  <c r="F931" i="1"/>
  <c r="E931" i="1"/>
  <c r="D931" i="1"/>
  <c r="G930" i="1"/>
  <c r="F930" i="1"/>
  <c r="E930" i="1"/>
  <c r="D930" i="1"/>
  <c r="G929" i="1"/>
  <c r="F929" i="1"/>
  <c r="E929" i="1"/>
  <c r="D929" i="1"/>
  <c r="G928" i="1"/>
  <c r="F928" i="1"/>
  <c r="E928" i="1"/>
  <c r="D928" i="1"/>
  <c r="G927" i="1"/>
  <c r="F927" i="1"/>
  <c r="E927" i="1"/>
  <c r="D927" i="1"/>
  <c r="G926" i="1"/>
  <c r="F926" i="1"/>
  <c r="E926" i="1"/>
  <c r="D926" i="1"/>
  <c r="G925" i="1"/>
  <c r="F925" i="1"/>
  <c r="E925" i="1"/>
  <c r="D925" i="1"/>
  <c r="G924" i="1"/>
  <c r="F924" i="1"/>
  <c r="E924" i="1"/>
  <c r="D924" i="1"/>
  <c r="G923" i="1"/>
  <c r="F923" i="1"/>
  <c r="E923" i="1"/>
  <c r="D923" i="1"/>
  <c r="G922" i="1"/>
  <c r="F922" i="1"/>
  <c r="E922" i="1"/>
  <c r="D922" i="1"/>
  <c r="G921" i="1"/>
  <c r="F921" i="1"/>
  <c r="E921" i="1"/>
  <c r="D921" i="1"/>
  <c r="G920" i="1"/>
  <c r="F920" i="1"/>
  <c r="E920" i="1"/>
  <c r="D920" i="1"/>
  <c r="G919" i="1"/>
  <c r="F919" i="1"/>
  <c r="E919" i="1"/>
  <c r="D919" i="1"/>
  <c r="G918" i="1"/>
  <c r="F918" i="1"/>
  <c r="E918" i="1"/>
  <c r="D918" i="1"/>
  <c r="G917" i="1"/>
  <c r="F917" i="1"/>
  <c r="E917" i="1"/>
  <c r="D917" i="1"/>
  <c r="G916" i="1"/>
  <c r="F916" i="1"/>
  <c r="E916" i="1"/>
  <c r="D916" i="1"/>
  <c r="G915" i="1"/>
  <c r="F915" i="1"/>
  <c r="E915" i="1"/>
  <c r="D915" i="1"/>
  <c r="G914" i="1"/>
  <c r="F914" i="1"/>
  <c r="E914" i="1"/>
  <c r="D914" i="1"/>
  <c r="G913" i="1"/>
  <c r="F913" i="1"/>
  <c r="E913" i="1"/>
  <c r="D913" i="1"/>
  <c r="G912" i="1"/>
  <c r="F912" i="1"/>
  <c r="E912" i="1"/>
  <c r="D912" i="1"/>
  <c r="G911" i="1"/>
  <c r="F911" i="1"/>
  <c r="E911" i="1"/>
  <c r="D911" i="1"/>
  <c r="G910" i="1"/>
  <c r="F910" i="1"/>
  <c r="E910" i="1"/>
  <c r="D910" i="1"/>
  <c r="G909" i="1"/>
  <c r="F909" i="1"/>
  <c r="E909" i="1"/>
  <c r="D909" i="1"/>
  <c r="G908" i="1"/>
  <c r="F908" i="1"/>
  <c r="E908" i="1"/>
  <c r="D908" i="1"/>
  <c r="G907" i="1"/>
  <c r="F907" i="1"/>
  <c r="E907" i="1"/>
  <c r="D907" i="1"/>
  <c r="G906" i="1"/>
  <c r="F906" i="1"/>
  <c r="E906" i="1"/>
  <c r="D906" i="1"/>
  <c r="G905" i="1"/>
  <c r="F905" i="1"/>
  <c r="E905" i="1"/>
  <c r="D905" i="1"/>
  <c r="G904" i="1"/>
  <c r="F904" i="1"/>
  <c r="E904" i="1"/>
  <c r="D904" i="1"/>
  <c r="G903" i="1"/>
  <c r="F903" i="1"/>
  <c r="E903" i="1"/>
  <c r="D903" i="1"/>
  <c r="G902" i="1"/>
  <c r="F902" i="1"/>
  <c r="E902" i="1"/>
  <c r="D902" i="1"/>
  <c r="G901" i="1"/>
  <c r="F901" i="1"/>
  <c r="E901" i="1"/>
  <c r="D901" i="1"/>
  <c r="G900" i="1"/>
  <c r="F900" i="1"/>
  <c r="E900" i="1"/>
  <c r="D900" i="1"/>
  <c r="G899" i="1"/>
  <c r="F899" i="1"/>
  <c r="E899" i="1"/>
  <c r="D899" i="1"/>
  <c r="G898" i="1"/>
  <c r="F898" i="1"/>
  <c r="E898" i="1"/>
  <c r="D898" i="1"/>
  <c r="G897" i="1"/>
  <c r="F897" i="1"/>
  <c r="E897" i="1"/>
  <c r="D897" i="1"/>
  <c r="G896" i="1"/>
  <c r="F896" i="1"/>
  <c r="E896" i="1"/>
  <c r="D896" i="1"/>
  <c r="G895" i="1"/>
  <c r="F895" i="1"/>
  <c r="E895" i="1"/>
  <c r="D895" i="1"/>
  <c r="G894" i="1"/>
  <c r="F894" i="1"/>
  <c r="E894" i="1"/>
  <c r="D894" i="1"/>
  <c r="G893" i="1"/>
  <c r="F893" i="1"/>
  <c r="E893" i="1"/>
  <c r="D893" i="1"/>
  <c r="G892" i="1"/>
  <c r="F892" i="1"/>
  <c r="E892" i="1"/>
  <c r="D892" i="1"/>
  <c r="G891" i="1"/>
  <c r="F891" i="1"/>
  <c r="E891" i="1"/>
  <c r="D891" i="1"/>
  <c r="G890" i="1"/>
  <c r="F890" i="1"/>
  <c r="E890" i="1"/>
  <c r="D890" i="1"/>
  <c r="G889" i="1"/>
  <c r="F889" i="1"/>
  <c r="E889" i="1"/>
  <c r="D889" i="1"/>
  <c r="G888" i="1"/>
  <c r="F888" i="1"/>
  <c r="E888" i="1"/>
  <c r="D888" i="1"/>
  <c r="G887" i="1"/>
  <c r="F887" i="1"/>
  <c r="E887" i="1"/>
  <c r="D887" i="1"/>
  <c r="G886" i="1"/>
  <c r="F886" i="1"/>
  <c r="E886" i="1"/>
  <c r="D886" i="1"/>
  <c r="G885" i="1"/>
  <c r="F885" i="1"/>
  <c r="E885" i="1"/>
  <c r="D885" i="1"/>
  <c r="G884" i="1"/>
  <c r="F884" i="1"/>
  <c r="E884" i="1"/>
  <c r="D884" i="1"/>
  <c r="G883" i="1"/>
  <c r="F883" i="1"/>
  <c r="E883" i="1"/>
  <c r="D883" i="1"/>
  <c r="G882" i="1"/>
  <c r="F882" i="1"/>
  <c r="E882" i="1"/>
  <c r="D882" i="1"/>
  <c r="G881" i="1"/>
  <c r="F881" i="1"/>
  <c r="E881" i="1"/>
  <c r="D881" i="1"/>
  <c r="G880" i="1"/>
  <c r="F880" i="1"/>
  <c r="E880" i="1"/>
  <c r="D880" i="1"/>
  <c r="G879" i="1"/>
  <c r="F879" i="1"/>
  <c r="E879" i="1"/>
  <c r="D879" i="1"/>
  <c r="G878" i="1"/>
  <c r="F878" i="1"/>
  <c r="E878" i="1"/>
  <c r="D878" i="1"/>
  <c r="G877" i="1"/>
  <c r="F877" i="1"/>
  <c r="E877" i="1"/>
  <c r="D877" i="1"/>
  <c r="G876" i="1"/>
  <c r="F876" i="1"/>
  <c r="E876" i="1"/>
  <c r="D876" i="1"/>
  <c r="G875" i="1"/>
  <c r="F875" i="1"/>
  <c r="E875" i="1"/>
  <c r="D875" i="1"/>
  <c r="G874" i="1"/>
  <c r="F874" i="1"/>
  <c r="E874" i="1"/>
  <c r="D874" i="1"/>
  <c r="G873" i="1"/>
  <c r="F873" i="1"/>
  <c r="E873" i="1"/>
  <c r="D873" i="1"/>
  <c r="G872" i="1"/>
  <c r="F872" i="1"/>
  <c r="E872" i="1"/>
  <c r="D872" i="1"/>
  <c r="G871" i="1"/>
  <c r="F871" i="1"/>
  <c r="E871" i="1"/>
  <c r="D871" i="1"/>
  <c r="G870" i="1"/>
  <c r="F870" i="1"/>
  <c r="E870" i="1"/>
  <c r="D870" i="1"/>
  <c r="G869" i="1"/>
  <c r="F869" i="1"/>
  <c r="E869" i="1"/>
  <c r="D869" i="1"/>
  <c r="G868" i="1"/>
  <c r="F868" i="1"/>
  <c r="E868" i="1"/>
  <c r="D868" i="1"/>
  <c r="G867" i="1"/>
  <c r="F867" i="1"/>
  <c r="E867" i="1"/>
  <c r="D867" i="1"/>
  <c r="G866" i="1"/>
  <c r="F866" i="1"/>
  <c r="E866" i="1"/>
  <c r="D866" i="1"/>
  <c r="G865" i="1"/>
  <c r="F865" i="1"/>
  <c r="E865" i="1"/>
  <c r="D865" i="1"/>
  <c r="G864" i="1"/>
  <c r="F864" i="1"/>
  <c r="E864" i="1"/>
  <c r="D864" i="1"/>
  <c r="G863" i="1"/>
  <c r="F863" i="1"/>
  <c r="E863" i="1"/>
  <c r="D863" i="1"/>
  <c r="G862" i="1"/>
  <c r="F862" i="1"/>
  <c r="E862" i="1"/>
  <c r="D862" i="1"/>
  <c r="G861" i="1"/>
  <c r="F861" i="1"/>
  <c r="E861" i="1"/>
  <c r="D861" i="1"/>
  <c r="G860" i="1"/>
  <c r="F860" i="1"/>
  <c r="E860" i="1"/>
  <c r="D860" i="1"/>
  <c r="G859" i="1"/>
  <c r="F859" i="1"/>
  <c r="E859" i="1"/>
  <c r="D859" i="1"/>
  <c r="G858" i="1"/>
  <c r="F858" i="1"/>
  <c r="E858" i="1"/>
  <c r="D858" i="1"/>
  <c r="G857" i="1"/>
  <c r="F857" i="1"/>
  <c r="E857" i="1"/>
  <c r="D857" i="1"/>
  <c r="G856" i="1"/>
  <c r="F856" i="1"/>
  <c r="E856" i="1"/>
  <c r="D856" i="1"/>
  <c r="G855" i="1"/>
  <c r="F855" i="1"/>
  <c r="E855" i="1"/>
  <c r="D855" i="1"/>
  <c r="G854" i="1"/>
  <c r="F854" i="1"/>
  <c r="E854" i="1"/>
  <c r="D854" i="1"/>
  <c r="G853" i="1"/>
  <c r="F853" i="1"/>
  <c r="E853" i="1"/>
  <c r="D853" i="1"/>
  <c r="G852" i="1"/>
  <c r="F852" i="1"/>
  <c r="E852" i="1"/>
  <c r="D852" i="1"/>
  <c r="G851" i="1"/>
  <c r="F851" i="1"/>
  <c r="E851" i="1"/>
  <c r="D851" i="1"/>
  <c r="G850" i="1"/>
  <c r="F850" i="1"/>
  <c r="E850" i="1"/>
  <c r="D850" i="1"/>
  <c r="G849" i="1"/>
  <c r="F849" i="1"/>
  <c r="E849" i="1"/>
  <c r="D849" i="1"/>
  <c r="G848" i="1"/>
  <c r="F848" i="1"/>
  <c r="E848" i="1"/>
  <c r="D848" i="1"/>
  <c r="G847" i="1"/>
  <c r="F847" i="1"/>
  <c r="E847" i="1"/>
  <c r="D847" i="1"/>
  <c r="G846" i="1"/>
  <c r="F846" i="1"/>
  <c r="E846" i="1"/>
  <c r="D846" i="1"/>
  <c r="G845" i="1"/>
  <c r="F845" i="1"/>
  <c r="E845" i="1"/>
  <c r="D845" i="1"/>
  <c r="G844" i="1"/>
  <c r="F844" i="1"/>
  <c r="E844" i="1"/>
  <c r="D844" i="1"/>
  <c r="G843" i="1"/>
  <c r="F843" i="1"/>
  <c r="E843" i="1"/>
  <c r="D843" i="1"/>
  <c r="G842" i="1"/>
  <c r="F842" i="1"/>
  <c r="E842" i="1"/>
  <c r="D842" i="1"/>
  <c r="G841" i="1"/>
  <c r="F841" i="1"/>
  <c r="E841" i="1"/>
  <c r="D841" i="1"/>
  <c r="G840" i="1"/>
  <c r="F840" i="1"/>
  <c r="E840" i="1"/>
  <c r="D840" i="1"/>
  <c r="G839" i="1"/>
  <c r="F839" i="1"/>
  <c r="E839" i="1"/>
  <c r="D839" i="1"/>
  <c r="G838" i="1"/>
  <c r="F838" i="1"/>
  <c r="E838" i="1"/>
  <c r="D838" i="1"/>
  <c r="G837" i="1"/>
  <c r="F837" i="1"/>
  <c r="E837" i="1"/>
  <c r="D837" i="1"/>
  <c r="G836" i="1"/>
  <c r="F836" i="1"/>
  <c r="E836" i="1"/>
  <c r="D836" i="1"/>
  <c r="G835" i="1"/>
  <c r="F835" i="1"/>
  <c r="E835" i="1"/>
  <c r="D835" i="1"/>
  <c r="G834" i="1"/>
  <c r="F834" i="1"/>
  <c r="E834" i="1"/>
  <c r="D834" i="1"/>
  <c r="G833" i="1"/>
  <c r="F833" i="1"/>
  <c r="E833" i="1"/>
  <c r="D833" i="1"/>
  <c r="G832" i="1"/>
  <c r="F832" i="1"/>
  <c r="E832" i="1"/>
  <c r="D832" i="1"/>
  <c r="G831" i="1"/>
  <c r="F831" i="1"/>
  <c r="E831" i="1"/>
  <c r="D831" i="1"/>
  <c r="G830" i="1"/>
  <c r="F830" i="1"/>
  <c r="E830" i="1"/>
  <c r="D830" i="1"/>
  <c r="G829" i="1"/>
  <c r="F829" i="1"/>
  <c r="E829" i="1"/>
  <c r="D829" i="1"/>
  <c r="G828" i="1"/>
  <c r="F828" i="1"/>
  <c r="E828" i="1"/>
  <c r="D828" i="1"/>
  <c r="G827" i="1"/>
  <c r="F827" i="1"/>
  <c r="E827" i="1"/>
  <c r="D827" i="1"/>
  <c r="G826" i="1"/>
  <c r="F826" i="1"/>
  <c r="E826" i="1"/>
  <c r="D826" i="1"/>
  <c r="G825" i="1"/>
  <c r="F825" i="1"/>
  <c r="E825" i="1"/>
  <c r="D825" i="1"/>
  <c r="G824" i="1"/>
  <c r="F824" i="1"/>
  <c r="E824" i="1"/>
  <c r="D824" i="1"/>
  <c r="G823" i="1"/>
  <c r="F823" i="1"/>
  <c r="E823" i="1"/>
  <c r="D823" i="1"/>
  <c r="G822" i="1"/>
  <c r="F822" i="1"/>
  <c r="E822" i="1"/>
  <c r="D822" i="1"/>
  <c r="G821" i="1"/>
  <c r="F821" i="1"/>
  <c r="E821" i="1"/>
  <c r="D821" i="1"/>
  <c r="G820" i="1"/>
  <c r="F820" i="1"/>
  <c r="E820" i="1"/>
  <c r="D820" i="1"/>
  <c r="G819" i="1"/>
  <c r="F819" i="1"/>
  <c r="E819" i="1"/>
  <c r="D819" i="1"/>
  <c r="G818" i="1"/>
  <c r="F818" i="1"/>
  <c r="E818" i="1"/>
  <c r="D818" i="1"/>
  <c r="G817" i="1"/>
  <c r="F817" i="1"/>
  <c r="E817" i="1"/>
  <c r="D817" i="1"/>
  <c r="G816" i="1"/>
  <c r="F816" i="1"/>
  <c r="E816" i="1"/>
  <c r="D816" i="1"/>
  <c r="G815" i="1"/>
  <c r="F815" i="1"/>
  <c r="E815" i="1"/>
  <c r="D815" i="1"/>
  <c r="G814" i="1"/>
  <c r="F814" i="1"/>
  <c r="E814" i="1"/>
  <c r="D814" i="1"/>
  <c r="G813" i="1"/>
  <c r="F813" i="1"/>
  <c r="E813" i="1"/>
  <c r="D813" i="1"/>
  <c r="G812" i="1"/>
  <c r="F812" i="1"/>
  <c r="E812" i="1"/>
  <c r="D812" i="1"/>
  <c r="G811" i="1"/>
  <c r="F811" i="1"/>
  <c r="E811" i="1"/>
  <c r="D811" i="1"/>
  <c r="G810" i="1"/>
  <c r="F810" i="1"/>
  <c r="E810" i="1"/>
  <c r="D810" i="1"/>
  <c r="G809" i="1"/>
  <c r="F809" i="1"/>
  <c r="E809" i="1"/>
  <c r="D809" i="1"/>
  <c r="G808" i="1"/>
  <c r="F808" i="1"/>
  <c r="E808" i="1"/>
  <c r="D808" i="1"/>
  <c r="G807" i="1"/>
  <c r="F807" i="1"/>
  <c r="E807" i="1"/>
  <c r="D807" i="1"/>
  <c r="G806" i="1"/>
  <c r="F806" i="1"/>
  <c r="E806" i="1"/>
  <c r="D806" i="1"/>
  <c r="G805" i="1"/>
  <c r="F805" i="1"/>
  <c r="E805" i="1"/>
  <c r="D805" i="1"/>
  <c r="G804" i="1"/>
  <c r="F804" i="1"/>
  <c r="E804" i="1"/>
  <c r="D804" i="1"/>
  <c r="G803" i="1"/>
  <c r="F803" i="1"/>
  <c r="E803" i="1"/>
  <c r="D803" i="1"/>
  <c r="G802" i="1"/>
  <c r="F802" i="1"/>
  <c r="E802" i="1"/>
  <c r="D802" i="1"/>
  <c r="G801" i="1"/>
  <c r="F801" i="1"/>
  <c r="E801" i="1"/>
  <c r="D801" i="1"/>
  <c r="G800" i="1"/>
  <c r="F800" i="1"/>
  <c r="E800" i="1"/>
  <c r="D800" i="1"/>
  <c r="G799" i="1"/>
  <c r="F799" i="1"/>
  <c r="E799" i="1"/>
  <c r="D799" i="1"/>
  <c r="G798" i="1"/>
  <c r="F798" i="1"/>
  <c r="E798" i="1"/>
  <c r="D798" i="1"/>
  <c r="G797" i="1"/>
  <c r="F797" i="1"/>
  <c r="E797" i="1"/>
  <c r="D797" i="1"/>
  <c r="G796" i="1"/>
  <c r="F796" i="1"/>
  <c r="E796" i="1"/>
  <c r="D796" i="1"/>
  <c r="G795" i="1"/>
  <c r="F795" i="1"/>
  <c r="E795" i="1"/>
  <c r="D795" i="1"/>
  <c r="G794" i="1"/>
  <c r="F794" i="1"/>
  <c r="E794" i="1"/>
  <c r="D794" i="1"/>
  <c r="G793" i="1"/>
  <c r="F793" i="1"/>
  <c r="E793" i="1"/>
  <c r="D793" i="1"/>
  <c r="G792" i="1"/>
  <c r="F792" i="1"/>
  <c r="E792" i="1"/>
  <c r="D792" i="1"/>
  <c r="G791" i="1"/>
  <c r="F791" i="1"/>
  <c r="E791" i="1"/>
  <c r="D791" i="1"/>
  <c r="G790" i="1"/>
  <c r="F790" i="1"/>
  <c r="E790" i="1"/>
  <c r="D790" i="1"/>
  <c r="G789" i="1"/>
  <c r="F789" i="1"/>
  <c r="E789" i="1"/>
  <c r="D789" i="1"/>
  <c r="G788" i="1"/>
  <c r="F788" i="1"/>
  <c r="E788" i="1"/>
  <c r="D788" i="1"/>
  <c r="G787" i="1"/>
  <c r="F787" i="1"/>
  <c r="E787" i="1"/>
  <c r="D787" i="1"/>
  <c r="G786" i="1"/>
  <c r="F786" i="1"/>
  <c r="E786" i="1"/>
  <c r="D786" i="1"/>
  <c r="G785" i="1"/>
  <c r="F785" i="1"/>
  <c r="E785" i="1"/>
  <c r="D785" i="1"/>
  <c r="G784" i="1"/>
  <c r="F784" i="1"/>
  <c r="E784" i="1"/>
  <c r="D784" i="1"/>
  <c r="G783" i="1"/>
  <c r="F783" i="1"/>
  <c r="E783" i="1"/>
  <c r="D783" i="1"/>
  <c r="G782" i="1"/>
  <c r="F782" i="1"/>
  <c r="E782" i="1"/>
  <c r="D782" i="1"/>
  <c r="G781" i="1"/>
  <c r="F781" i="1"/>
  <c r="E781" i="1"/>
  <c r="D781" i="1"/>
  <c r="G780" i="1"/>
  <c r="F780" i="1"/>
  <c r="E780" i="1"/>
  <c r="D780" i="1"/>
  <c r="G779" i="1"/>
  <c r="F779" i="1"/>
  <c r="E779" i="1"/>
  <c r="D779" i="1"/>
  <c r="G778" i="1"/>
  <c r="F778" i="1"/>
  <c r="E778" i="1"/>
  <c r="D778" i="1"/>
  <c r="G777" i="1"/>
  <c r="F777" i="1"/>
  <c r="E777" i="1"/>
  <c r="D777" i="1"/>
  <c r="G776" i="1"/>
  <c r="F776" i="1"/>
  <c r="E776" i="1"/>
  <c r="D776" i="1"/>
  <c r="G775" i="1"/>
  <c r="F775" i="1"/>
  <c r="E775" i="1"/>
  <c r="D775" i="1"/>
  <c r="G774" i="1"/>
  <c r="F774" i="1"/>
  <c r="E774" i="1"/>
  <c r="D774" i="1"/>
  <c r="G773" i="1"/>
  <c r="F773" i="1"/>
  <c r="E773" i="1"/>
  <c r="D773" i="1"/>
  <c r="G772" i="1"/>
  <c r="F772" i="1"/>
  <c r="E772" i="1"/>
  <c r="D772" i="1"/>
  <c r="G771" i="1"/>
  <c r="F771" i="1"/>
  <c r="E771" i="1"/>
  <c r="D771" i="1"/>
  <c r="G770" i="1"/>
  <c r="F770" i="1"/>
  <c r="E770" i="1"/>
  <c r="D770" i="1"/>
  <c r="G769" i="1"/>
  <c r="F769" i="1"/>
  <c r="E769" i="1"/>
  <c r="D769" i="1"/>
  <c r="G768" i="1"/>
  <c r="F768" i="1"/>
  <c r="E768" i="1"/>
  <c r="D768" i="1"/>
  <c r="G767" i="1"/>
  <c r="F767" i="1"/>
  <c r="E767" i="1"/>
  <c r="D767" i="1"/>
  <c r="G766" i="1"/>
  <c r="F766" i="1"/>
  <c r="E766" i="1"/>
  <c r="D766" i="1"/>
  <c r="G765" i="1"/>
  <c r="F765" i="1"/>
  <c r="E765" i="1"/>
  <c r="D765" i="1"/>
  <c r="G764" i="1"/>
  <c r="F764" i="1"/>
  <c r="E764" i="1"/>
  <c r="D764" i="1"/>
  <c r="G763" i="1"/>
  <c r="F763" i="1"/>
  <c r="E763" i="1"/>
  <c r="D763" i="1"/>
  <c r="G762" i="1"/>
  <c r="F762" i="1"/>
  <c r="E762" i="1"/>
  <c r="D762" i="1"/>
  <c r="G761" i="1"/>
  <c r="F761" i="1"/>
  <c r="E761" i="1"/>
  <c r="D761" i="1"/>
  <c r="G760" i="1"/>
  <c r="F760" i="1"/>
  <c r="E760" i="1"/>
  <c r="D760" i="1"/>
  <c r="G759" i="1"/>
  <c r="F759" i="1"/>
  <c r="E759" i="1"/>
  <c r="D759" i="1"/>
  <c r="G758" i="1"/>
  <c r="F758" i="1"/>
  <c r="E758" i="1"/>
  <c r="D758" i="1"/>
  <c r="G757" i="1"/>
  <c r="F757" i="1"/>
  <c r="E757" i="1"/>
  <c r="D757" i="1"/>
  <c r="G756" i="1"/>
  <c r="F756" i="1"/>
  <c r="E756" i="1"/>
  <c r="D756" i="1"/>
  <c r="G755" i="1"/>
  <c r="F755" i="1"/>
  <c r="E755" i="1"/>
  <c r="D755" i="1"/>
  <c r="G754" i="1"/>
  <c r="F754" i="1"/>
  <c r="E754" i="1"/>
  <c r="D754" i="1"/>
  <c r="G753" i="1"/>
  <c r="F753" i="1"/>
  <c r="E753" i="1"/>
  <c r="D753" i="1"/>
  <c r="G752" i="1"/>
  <c r="F752" i="1"/>
  <c r="E752" i="1"/>
  <c r="D752" i="1"/>
  <c r="G751" i="1"/>
  <c r="F751" i="1"/>
  <c r="E751" i="1"/>
  <c r="D751" i="1"/>
  <c r="G750" i="1"/>
  <c r="F750" i="1"/>
  <c r="E750" i="1"/>
  <c r="D750" i="1"/>
  <c r="G749" i="1"/>
  <c r="F749" i="1"/>
  <c r="E749" i="1"/>
  <c r="D749" i="1"/>
  <c r="G748" i="1"/>
  <c r="F748" i="1"/>
  <c r="E748" i="1"/>
  <c r="D748" i="1"/>
  <c r="G747" i="1"/>
  <c r="F747" i="1"/>
  <c r="E747" i="1"/>
  <c r="D747" i="1"/>
  <c r="G746" i="1"/>
  <c r="F746" i="1"/>
  <c r="E746" i="1"/>
  <c r="D746" i="1"/>
  <c r="G745" i="1"/>
  <c r="F745" i="1"/>
  <c r="E745" i="1"/>
  <c r="D745" i="1"/>
  <c r="G744" i="1"/>
  <c r="F744" i="1"/>
  <c r="E744" i="1"/>
  <c r="D744" i="1"/>
  <c r="G743" i="1"/>
  <c r="F743" i="1"/>
  <c r="E743" i="1"/>
  <c r="D743" i="1"/>
  <c r="G742" i="1"/>
  <c r="F742" i="1"/>
  <c r="E742" i="1"/>
  <c r="D742" i="1"/>
  <c r="G741" i="1"/>
  <c r="F741" i="1"/>
  <c r="E741" i="1"/>
  <c r="D741" i="1"/>
  <c r="G740" i="1"/>
  <c r="F740" i="1"/>
  <c r="E740" i="1"/>
  <c r="D740" i="1"/>
  <c r="G739" i="1"/>
  <c r="F739" i="1"/>
  <c r="E739" i="1"/>
  <c r="D739" i="1"/>
  <c r="G738" i="1"/>
  <c r="F738" i="1"/>
  <c r="E738" i="1"/>
  <c r="D738" i="1"/>
  <c r="G737" i="1"/>
  <c r="F737" i="1"/>
  <c r="E737" i="1"/>
  <c r="D737" i="1"/>
  <c r="G736" i="1"/>
  <c r="F736" i="1"/>
  <c r="E736" i="1"/>
  <c r="D736" i="1"/>
  <c r="G735" i="1"/>
  <c r="F735" i="1"/>
  <c r="E735" i="1"/>
  <c r="D735" i="1"/>
  <c r="G734" i="1"/>
  <c r="F734" i="1"/>
  <c r="E734" i="1"/>
  <c r="D734" i="1"/>
  <c r="G733" i="1"/>
  <c r="F733" i="1"/>
  <c r="E733" i="1"/>
  <c r="D733" i="1"/>
  <c r="G732" i="1"/>
  <c r="F732" i="1"/>
  <c r="E732" i="1"/>
  <c r="D732" i="1"/>
  <c r="G731" i="1"/>
  <c r="F731" i="1"/>
  <c r="E731" i="1"/>
  <c r="D731" i="1"/>
  <c r="G730" i="1"/>
  <c r="F730" i="1"/>
  <c r="E730" i="1"/>
  <c r="D730" i="1"/>
  <c r="G729" i="1"/>
  <c r="F729" i="1"/>
  <c r="E729" i="1"/>
  <c r="D729" i="1"/>
  <c r="G728" i="1"/>
  <c r="F728" i="1"/>
  <c r="E728" i="1"/>
  <c r="D728" i="1"/>
  <c r="G727" i="1"/>
  <c r="F727" i="1"/>
  <c r="E727" i="1"/>
  <c r="D727" i="1"/>
  <c r="G726" i="1"/>
  <c r="F726" i="1"/>
  <c r="E726" i="1"/>
  <c r="D726" i="1"/>
  <c r="G725" i="1"/>
  <c r="F725" i="1"/>
  <c r="E725" i="1"/>
  <c r="D725" i="1"/>
  <c r="G724" i="1"/>
  <c r="F724" i="1"/>
  <c r="E724" i="1"/>
  <c r="D724" i="1"/>
  <c r="G723" i="1"/>
  <c r="F723" i="1"/>
  <c r="E723" i="1"/>
  <c r="D723" i="1"/>
  <c r="G722" i="1"/>
  <c r="F722" i="1"/>
  <c r="E722" i="1"/>
  <c r="D722" i="1"/>
  <c r="G721" i="1"/>
  <c r="F721" i="1"/>
  <c r="E721" i="1"/>
  <c r="D721" i="1"/>
  <c r="G720" i="1"/>
  <c r="F720" i="1"/>
  <c r="E720" i="1"/>
  <c r="D720" i="1"/>
  <c r="G719" i="1"/>
  <c r="F719" i="1"/>
  <c r="E719" i="1"/>
  <c r="D719" i="1"/>
  <c r="G718" i="1"/>
  <c r="F718" i="1"/>
  <c r="E718" i="1"/>
  <c r="D718" i="1"/>
  <c r="G717" i="1"/>
  <c r="F717" i="1"/>
  <c r="E717" i="1"/>
  <c r="D717" i="1"/>
  <c r="G716" i="1"/>
  <c r="F716" i="1"/>
  <c r="E716" i="1"/>
  <c r="D716" i="1"/>
  <c r="G715" i="1"/>
  <c r="F715" i="1"/>
  <c r="E715" i="1"/>
  <c r="D715" i="1"/>
  <c r="G714" i="1"/>
  <c r="F714" i="1"/>
  <c r="E714" i="1"/>
  <c r="D714" i="1"/>
  <c r="G713" i="1"/>
  <c r="F713" i="1"/>
  <c r="E713" i="1"/>
  <c r="D713" i="1"/>
  <c r="G712" i="1"/>
  <c r="F712" i="1"/>
  <c r="E712" i="1"/>
  <c r="D712" i="1"/>
  <c r="G711" i="1"/>
  <c r="F711" i="1"/>
  <c r="E711" i="1"/>
  <c r="D711" i="1"/>
  <c r="G710" i="1"/>
  <c r="F710" i="1"/>
  <c r="E710" i="1"/>
  <c r="D710" i="1"/>
  <c r="G709" i="1"/>
  <c r="F709" i="1"/>
  <c r="E709" i="1"/>
  <c r="D709" i="1"/>
  <c r="G708" i="1"/>
  <c r="F708" i="1"/>
  <c r="E708" i="1"/>
  <c r="D708" i="1"/>
  <c r="G707" i="1"/>
  <c r="F707" i="1"/>
  <c r="E707" i="1"/>
  <c r="D707" i="1"/>
  <c r="G706" i="1"/>
  <c r="F706" i="1"/>
  <c r="E706" i="1"/>
  <c r="D706" i="1"/>
  <c r="G705" i="1"/>
  <c r="F705" i="1"/>
  <c r="E705" i="1"/>
  <c r="D705" i="1"/>
  <c r="G704" i="1"/>
  <c r="F704" i="1"/>
  <c r="E704" i="1"/>
  <c r="D704" i="1"/>
  <c r="G703" i="1"/>
  <c r="F703" i="1"/>
  <c r="E703" i="1"/>
  <c r="D703" i="1"/>
  <c r="G702" i="1"/>
  <c r="F702" i="1"/>
  <c r="E702" i="1"/>
  <c r="D702" i="1"/>
  <c r="G701" i="1"/>
  <c r="F701" i="1"/>
  <c r="E701" i="1"/>
  <c r="D701" i="1"/>
  <c r="G700" i="1"/>
  <c r="F700" i="1"/>
  <c r="E700" i="1"/>
  <c r="D700" i="1"/>
  <c r="G699" i="1"/>
  <c r="F699" i="1"/>
  <c r="E699" i="1"/>
  <c r="D699" i="1"/>
  <c r="G698" i="1"/>
  <c r="F698" i="1"/>
  <c r="E698" i="1"/>
  <c r="D698" i="1"/>
  <c r="G697" i="1"/>
  <c r="F697" i="1"/>
  <c r="E697" i="1"/>
  <c r="D697" i="1"/>
  <c r="G696" i="1"/>
  <c r="F696" i="1"/>
  <c r="E696" i="1"/>
  <c r="D696" i="1"/>
  <c r="G695" i="1"/>
  <c r="F695" i="1"/>
  <c r="E695" i="1"/>
  <c r="D695" i="1"/>
  <c r="G694" i="1"/>
  <c r="F694" i="1"/>
  <c r="E694" i="1"/>
  <c r="D694" i="1"/>
  <c r="G693" i="1"/>
  <c r="F693" i="1"/>
  <c r="E693" i="1"/>
  <c r="D693" i="1"/>
  <c r="G692" i="1"/>
  <c r="F692" i="1"/>
  <c r="E692" i="1"/>
  <c r="D692" i="1"/>
  <c r="G691" i="1"/>
  <c r="F691" i="1"/>
  <c r="E691" i="1"/>
  <c r="D691" i="1"/>
  <c r="G690" i="1"/>
  <c r="F690" i="1"/>
  <c r="E690" i="1"/>
  <c r="D690" i="1"/>
  <c r="G689" i="1"/>
  <c r="F689" i="1"/>
  <c r="E689" i="1"/>
  <c r="D689" i="1"/>
  <c r="G688" i="1"/>
  <c r="F688" i="1"/>
  <c r="E688" i="1"/>
  <c r="D688" i="1"/>
  <c r="G687" i="1"/>
  <c r="F687" i="1"/>
  <c r="E687" i="1"/>
  <c r="D687" i="1"/>
  <c r="G686" i="1"/>
  <c r="F686" i="1"/>
  <c r="E686" i="1"/>
  <c r="D686" i="1"/>
  <c r="G685" i="1"/>
  <c r="F685" i="1"/>
  <c r="E685" i="1"/>
  <c r="D685" i="1"/>
  <c r="G684" i="1"/>
  <c r="F684" i="1"/>
  <c r="E684" i="1"/>
  <c r="D684" i="1"/>
  <c r="G683" i="1"/>
  <c r="F683" i="1"/>
  <c r="E683" i="1"/>
  <c r="D683" i="1"/>
  <c r="G682" i="1"/>
  <c r="F682" i="1"/>
  <c r="E682" i="1"/>
  <c r="D682" i="1"/>
  <c r="G681" i="1"/>
  <c r="F681" i="1"/>
  <c r="E681" i="1"/>
  <c r="D681" i="1"/>
  <c r="G680" i="1"/>
  <c r="F680" i="1"/>
  <c r="E680" i="1"/>
  <c r="D680" i="1"/>
  <c r="G679" i="1"/>
  <c r="F679" i="1"/>
  <c r="E679" i="1"/>
  <c r="D679" i="1"/>
  <c r="G678" i="1"/>
  <c r="F678" i="1"/>
  <c r="E678" i="1"/>
  <c r="D678" i="1"/>
  <c r="G677" i="1"/>
  <c r="F677" i="1"/>
  <c r="E677" i="1"/>
  <c r="D677" i="1"/>
  <c r="G676" i="1"/>
  <c r="F676" i="1"/>
  <c r="E676" i="1"/>
  <c r="D676" i="1"/>
  <c r="G675" i="1"/>
  <c r="F675" i="1"/>
  <c r="E675" i="1"/>
  <c r="D675" i="1"/>
  <c r="G674" i="1"/>
  <c r="F674" i="1"/>
  <c r="E674" i="1"/>
  <c r="D674" i="1"/>
  <c r="G673" i="1"/>
  <c r="F673" i="1"/>
  <c r="E673" i="1"/>
  <c r="D673" i="1"/>
  <c r="G672" i="1"/>
  <c r="F672" i="1"/>
  <c r="E672" i="1"/>
  <c r="D672" i="1"/>
  <c r="G671" i="1"/>
  <c r="F671" i="1"/>
  <c r="E671" i="1"/>
  <c r="D671" i="1"/>
  <c r="G670" i="1"/>
  <c r="F670" i="1"/>
  <c r="E670" i="1"/>
  <c r="D670" i="1"/>
  <c r="G669" i="1"/>
  <c r="F669" i="1"/>
  <c r="E669" i="1"/>
  <c r="D669" i="1"/>
  <c r="G668" i="1"/>
  <c r="F668" i="1"/>
  <c r="E668" i="1"/>
  <c r="D668" i="1"/>
  <c r="G667" i="1"/>
  <c r="F667" i="1"/>
  <c r="E667" i="1"/>
  <c r="D667" i="1"/>
  <c r="G666" i="1"/>
  <c r="F666" i="1"/>
  <c r="E666" i="1"/>
  <c r="D666" i="1"/>
  <c r="G665" i="1"/>
  <c r="F665" i="1"/>
  <c r="E665" i="1"/>
  <c r="D665" i="1"/>
  <c r="G664" i="1"/>
  <c r="F664" i="1"/>
  <c r="E664" i="1"/>
  <c r="D664" i="1"/>
  <c r="G663" i="1"/>
  <c r="F663" i="1"/>
  <c r="E663" i="1"/>
  <c r="D663" i="1"/>
  <c r="G662" i="1"/>
  <c r="F662" i="1"/>
  <c r="E662" i="1"/>
  <c r="D662" i="1"/>
  <c r="G661" i="1"/>
  <c r="F661" i="1"/>
  <c r="E661" i="1"/>
  <c r="D661" i="1"/>
  <c r="G660" i="1"/>
  <c r="F660" i="1"/>
  <c r="E660" i="1"/>
  <c r="D660" i="1"/>
  <c r="G659" i="1"/>
  <c r="F659" i="1"/>
  <c r="E659" i="1"/>
  <c r="D659" i="1"/>
  <c r="G658" i="1"/>
  <c r="F658" i="1"/>
  <c r="E658" i="1"/>
  <c r="D658" i="1"/>
  <c r="G657" i="1"/>
  <c r="F657" i="1"/>
  <c r="E657" i="1"/>
  <c r="D657" i="1"/>
  <c r="G656" i="1"/>
  <c r="F656" i="1"/>
  <c r="E656" i="1"/>
  <c r="D656" i="1"/>
  <c r="G655" i="1"/>
  <c r="F655" i="1"/>
  <c r="E655" i="1"/>
  <c r="D655" i="1"/>
  <c r="G654" i="1"/>
  <c r="F654" i="1"/>
  <c r="E654" i="1"/>
  <c r="D654" i="1"/>
  <c r="G653" i="1"/>
  <c r="F653" i="1"/>
  <c r="E653" i="1"/>
  <c r="D653" i="1"/>
  <c r="G652" i="1"/>
  <c r="F652" i="1"/>
  <c r="E652" i="1"/>
  <c r="D652" i="1"/>
  <c r="G651" i="1"/>
  <c r="F651" i="1"/>
  <c r="E651" i="1"/>
  <c r="D651" i="1"/>
  <c r="G650" i="1"/>
  <c r="F650" i="1"/>
  <c r="E650" i="1"/>
  <c r="D650" i="1"/>
  <c r="G649" i="1"/>
  <c r="F649" i="1"/>
  <c r="E649" i="1"/>
  <c r="D649" i="1"/>
  <c r="G648" i="1"/>
  <c r="F648" i="1"/>
  <c r="E648" i="1"/>
  <c r="D648" i="1"/>
  <c r="G647" i="1"/>
  <c r="F647" i="1"/>
  <c r="E647" i="1"/>
  <c r="D647" i="1"/>
  <c r="G646" i="1"/>
  <c r="F646" i="1"/>
  <c r="E646" i="1"/>
  <c r="D646" i="1"/>
  <c r="G645" i="1"/>
  <c r="F645" i="1"/>
  <c r="E645" i="1"/>
  <c r="D645" i="1"/>
  <c r="G644" i="1"/>
  <c r="F644" i="1"/>
  <c r="E644" i="1"/>
  <c r="D644" i="1"/>
  <c r="G643" i="1"/>
  <c r="F643" i="1"/>
  <c r="E643" i="1"/>
  <c r="D643" i="1"/>
  <c r="G642" i="1"/>
  <c r="F642" i="1"/>
  <c r="E642" i="1"/>
  <c r="D642" i="1"/>
  <c r="G641" i="1"/>
  <c r="F641" i="1"/>
  <c r="E641" i="1"/>
  <c r="D641" i="1"/>
  <c r="G640" i="1"/>
  <c r="F640" i="1"/>
  <c r="E640" i="1"/>
  <c r="D640" i="1"/>
  <c r="G639" i="1"/>
  <c r="F639" i="1"/>
  <c r="E639" i="1"/>
  <c r="D639" i="1"/>
  <c r="G638" i="1"/>
  <c r="F638" i="1"/>
  <c r="E638" i="1"/>
  <c r="D638" i="1"/>
  <c r="G637" i="1"/>
  <c r="F637" i="1"/>
  <c r="E637" i="1"/>
  <c r="D637" i="1"/>
  <c r="G636" i="1"/>
  <c r="F636" i="1"/>
  <c r="E636" i="1"/>
  <c r="D636" i="1"/>
  <c r="G635" i="1"/>
  <c r="F635" i="1"/>
  <c r="E635" i="1"/>
  <c r="D635" i="1"/>
  <c r="G634" i="1"/>
  <c r="F634" i="1"/>
  <c r="E634" i="1"/>
  <c r="D634" i="1"/>
  <c r="G633" i="1"/>
  <c r="F633" i="1"/>
  <c r="E633" i="1"/>
  <c r="D633" i="1"/>
  <c r="G632" i="1"/>
  <c r="F632" i="1"/>
  <c r="E632" i="1"/>
  <c r="D632" i="1"/>
  <c r="G631" i="1"/>
  <c r="F631" i="1"/>
  <c r="E631" i="1"/>
  <c r="D631" i="1"/>
  <c r="G630" i="1"/>
  <c r="F630" i="1"/>
  <c r="E630" i="1"/>
  <c r="D630" i="1"/>
  <c r="G629" i="1"/>
  <c r="F629" i="1"/>
  <c r="E629" i="1"/>
  <c r="D629" i="1"/>
  <c r="G628" i="1"/>
  <c r="F628" i="1"/>
  <c r="E628" i="1"/>
  <c r="D628" i="1"/>
  <c r="G627" i="1"/>
  <c r="F627" i="1"/>
  <c r="E627" i="1"/>
  <c r="D627" i="1"/>
  <c r="G626" i="1"/>
  <c r="F626" i="1"/>
  <c r="E626" i="1"/>
  <c r="D626" i="1"/>
  <c r="G625" i="1"/>
  <c r="F625" i="1"/>
  <c r="E625" i="1"/>
  <c r="D625" i="1"/>
  <c r="G624" i="1"/>
  <c r="F624" i="1"/>
  <c r="E624" i="1"/>
  <c r="D624" i="1"/>
  <c r="G623" i="1"/>
  <c r="F623" i="1"/>
  <c r="E623" i="1"/>
  <c r="D623" i="1"/>
  <c r="G622" i="1"/>
  <c r="F622" i="1"/>
  <c r="E622" i="1"/>
  <c r="D622" i="1"/>
  <c r="G621" i="1"/>
  <c r="F621" i="1"/>
  <c r="E621" i="1"/>
  <c r="D621" i="1"/>
  <c r="G620" i="1"/>
  <c r="F620" i="1"/>
  <c r="E620" i="1"/>
  <c r="D620" i="1"/>
  <c r="G619" i="1"/>
  <c r="F619" i="1"/>
  <c r="E619" i="1"/>
  <c r="D619" i="1"/>
  <c r="G618" i="1"/>
  <c r="F618" i="1"/>
  <c r="E618" i="1"/>
  <c r="D618" i="1"/>
  <c r="G617" i="1"/>
  <c r="F617" i="1"/>
  <c r="E617" i="1"/>
  <c r="D617" i="1"/>
  <c r="G616" i="1"/>
  <c r="F616" i="1"/>
  <c r="E616" i="1"/>
  <c r="D616" i="1"/>
  <c r="G615" i="1"/>
  <c r="F615" i="1"/>
  <c r="E615" i="1"/>
  <c r="D615" i="1"/>
  <c r="G614" i="1"/>
  <c r="F614" i="1"/>
  <c r="E614" i="1"/>
  <c r="D614" i="1"/>
  <c r="G613" i="1"/>
  <c r="F613" i="1"/>
  <c r="E613" i="1"/>
  <c r="D613" i="1"/>
  <c r="G612" i="1"/>
  <c r="F612" i="1"/>
  <c r="E612" i="1"/>
  <c r="D612" i="1"/>
  <c r="G611" i="1"/>
  <c r="F611" i="1"/>
  <c r="E611" i="1"/>
  <c r="D611" i="1"/>
  <c r="G610" i="1"/>
  <c r="F610" i="1"/>
  <c r="E610" i="1"/>
  <c r="D610" i="1"/>
  <c r="G609" i="1"/>
  <c r="F609" i="1"/>
  <c r="E609" i="1"/>
  <c r="D609" i="1"/>
  <c r="G608" i="1"/>
  <c r="F608" i="1"/>
  <c r="E608" i="1"/>
  <c r="D608" i="1"/>
  <c r="G607" i="1"/>
  <c r="F607" i="1"/>
  <c r="E607" i="1"/>
  <c r="D607" i="1"/>
  <c r="G606" i="1"/>
  <c r="F606" i="1"/>
  <c r="E606" i="1"/>
  <c r="D606" i="1"/>
  <c r="G605" i="1"/>
  <c r="F605" i="1"/>
  <c r="E605" i="1"/>
  <c r="D605" i="1"/>
  <c r="G604" i="1"/>
  <c r="F604" i="1"/>
  <c r="E604" i="1"/>
  <c r="D604" i="1"/>
  <c r="G603" i="1"/>
  <c r="F603" i="1"/>
  <c r="E603" i="1"/>
  <c r="D603" i="1"/>
  <c r="G602" i="1"/>
  <c r="F602" i="1"/>
  <c r="E602" i="1"/>
  <c r="D602" i="1"/>
  <c r="G601" i="1"/>
  <c r="F601" i="1"/>
  <c r="E601" i="1"/>
  <c r="D601" i="1"/>
  <c r="G600" i="1"/>
  <c r="F600" i="1"/>
  <c r="E600" i="1"/>
  <c r="D600" i="1"/>
  <c r="G599" i="1"/>
  <c r="F599" i="1"/>
  <c r="E599" i="1"/>
  <c r="D599" i="1"/>
  <c r="G598" i="1"/>
  <c r="F598" i="1"/>
  <c r="E598" i="1"/>
  <c r="D598" i="1"/>
  <c r="G597" i="1"/>
  <c r="F597" i="1"/>
  <c r="E597" i="1"/>
  <c r="D597" i="1"/>
  <c r="G596" i="1"/>
  <c r="F596" i="1"/>
  <c r="E596" i="1"/>
  <c r="D596" i="1"/>
  <c r="G595" i="1"/>
  <c r="F595" i="1"/>
  <c r="E595" i="1"/>
  <c r="D595" i="1"/>
  <c r="G594" i="1"/>
  <c r="F594" i="1"/>
  <c r="E594" i="1"/>
  <c r="D594" i="1"/>
  <c r="G593" i="1"/>
  <c r="F593" i="1"/>
  <c r="E593" i="1"/>
  <c r="D593" i="1"/>
  <c r="G592" i="1"/>
  <c r="F592" i="1"/>
  <c r="E592" i="1"/>
  <c r="D592" i="1"/>
  <c r="G591" i="1"/>
  <c r="F591" i="1"/>
  <c r="E591" i="1"/>
  <c r="D591" i="1"/>
  <c r="G590" i="1"/>
  <c r="F590" i="1"/>
  <c r="E590" i="1"/>
  <c r="D590" i="1"/>
  <c r="G589" i="1"/>
  <c r="F589" i="1"/>
  <c r="E589" i="1"/>
  <c r="D589" i="1"/>
  <c r="G588" i="1"/>
  <c r="F588" i="1"/>
  <c r="E588" i="1"/>
  <c r="D588" i="1"/>
  <c r="G587" i="1"/>
  <c r="F587" i="1"/>
  <c r="E587" i="1"/>
  <c r="D587" i="1"/>
  <c r="G586" i="1"/>
  <c r="F586" i="1"/>
  <c r="E586" i="1"/>
  <c r="D586" i="1"/>
  <c r="G585" i="1"/>
  <c r="F585" i="1"/>
  <c r="E585" i="1"/>
  <c r="D585" i="1"/>
  <c r="G584" i="1"/>
  <c r="F584" i="1"/>
  <c r="E584" i="1"/>
  <c r="D584" i="1"/>
  <c r="G583" i="1"/>
  <c r="F583" i="1"/>
  <c r="E583" i="1"/>
  <c r="D583" i="1"/>
  <c r="G582" i="1"/>
  <c r="F582" i="1"/>
  <c r="E582" i="1"/>
  <c r="D582" i="1"/>
  <c r="G581" i="1"/>
  <c r="F581" i="1"/>
  <c r="E581" i="1"/>
  <c r="D581" i="1"/>
  <c r="G580" i="1"/>
  <c r="F580" i="1"/>
  <c r="E580" i="1"/>
  <c r="D580" i="1"/>
  <c r="G579" i="1"/>
  <c r="F579" i="1"/>
  <c r="E579" i="1"/>
  <c r="D579" i="1"/>
  <c r="G578" i="1"/>
  <c r="F578" i="1"/>
  <c r="E578" i="1"/>
  <c r="D578" i="1"/>
  <c r="G577" i="1"/>
  <c r="F577" i="1"/>
  <c r="E577" i="1"/>
  <c r="D577" i="1"/>
  <c r="G576" i="1"/>
  <c r="F576" i="1"/>
  <c r="E576" i="1"/>
  <c r="D576" i="1"/>
  <c r="G575" i="1"/>
  <c r="F575" i="1"/>
  <c r="E575" i="1"/>
  <c r="D575" i="1"/>
  <c r="G574" i="1"/>
  <c r="F574" i="1"/>
  <c r="E574" i="1"/>
  <c r="D574" i="1"/>
  <c r="G573" i="1"/>
  <c r="F573" i="1"/>
  <c r="E573" i="1"/>
  <c r="D573" i="1"/>
  <c r="G572" i="1"/>
  <c r="F572" i="1"/>
  <c r="E572" i="1"/>
  <c r="D572" i="1"/>
  <c r="G571" i="1"/>
  <c r="F571" i="1"/>
  <c r="E571" i="1"/>
  <c r="D571" i="1"/>
  <c r="G570" i="1"/>
  <c r="F570" i="1"/>
  <c r="E570" i="1"/>
  <c r="D570" i="1"/>
  <c r="G569" i="1"/>
  <c r="F569" i="1"/>
  <c r="E569" i="1"/>
  <c r="D569" i="1"/>
  <c r="G568" i="1"/>
  <c r="F568" i="1"/>
  <c r="E568" i="1"/>
  <c r="D568" i="1"/>
  <c r="G567" i="1"/>
  <c r="F567" i="1"/>
  <c r="E567" i="1"/>
  <c r="D567" i="1"/>
  <c r="G566" i="1"/>
  <c r="F566" i="1"/>
  <c r="E566" i="1"/>
  <c r="D566" i="1"/>
  <c r="G565" i="1"/>
  <c r="F565" i="1"/>
  <c r="E565" i="1"/>
  <c r="D565" i="1"/>
  <c r="G564" i="1"/>
  <c r="F564" i="1"/>
  <c r="E564" i="1"/>
  <c r="D564" i="1"/>
  <c r="G563" i="1"/>
  <c r="F563" i="1"/>
  <c r="E563" i="1"/>
  <c r="D563" i="1"/>
  <c r="G562" i="1"/>
  <c r="F562" i="1"/>
  <c r="E562" i="1"/>
  <c r="D562" i="1"/>
  <c r="G561" i="1"/>
  <c r="F561" i="1"/>
  <c r="E561" i="1"/>
  <c r="D561" i="1"/>
  <c r="G560" i="1"/>
  <c r="F560" i="1"/>
  <c r="E560" i="1"/>
  <c r="D560" i="1"/>
  <c r="G559" i="1"/>
  <c r="F559" i="1"/>
  <c r="E559" i="1"/>
  <c r="D559" i="1"/>
  <c r="G558" i="1"/>
  <c r="F558" i="1"/>
  <c r="E558" i="1"/>
  <c r="D558" i="1"/>
  <c r="G557" i="1"/>
  <c r="F557" i="1"/>
  <c r="E557" i="1"/>
  <c r="D557" i="1"/>
  <c r="G556" i="1"/>
  <c r="F556" i="1"/>
  <c r="E556" i="1"/>
  <c r="D556" i="1"/>
  <c r="G555" i="1"/>
  <c r="F555" i="1"/>
  <c r="E555" i="1"/>
  <c r="D555" i="1"/>
  <c r="G554" i="1"/>
  <c r="F554" i="1"/>
  <c r="E554" i="1"/>
  <c r="D554" i="1"/>
  <c r="G553" i="1"/>
  <c r="F553" i="1"/>
  <c r="E553" i="1"/>
  <c r="D553" i="1"/>
  <c r="G552" i="1"/>
  <c r="F552" i="1"/>
  <c r="E552" i="1"/>
  <c r="D552" i="1"/>
  <c r="G551" i="1"/>
  <c r="F551" i="1"/>
  <c r="E551" i="1"/>
  <c r="D551" i="1"/>
  <c r="G550" i="1"/>
  <c r="F550" i="1"/>
  <c r="E550" i="1"/>
  <c r="D550" i="1"/>
  <c r="G549" i="1"/>
  <c r="F549" i="1"/>
  <c r="E549" i="1"/>
  <c r="D549" i="1"/>
  <c r="G548" i="1"/>
  <c r="F548" i="1"/>
  <c r="E548" i="1"/>
  <c r="D548" i="1"/>
  <c r="G547" i="1"/>
  <c r="F547" i="1"/>
  <c r="E547" i="1"/>
  <c r="D547" i="1"/>
  <c r="G546" i="1"/>
  <c r="F546" i="1"/>
  <c r="E546" i="1"/>
  <c r="D546" i="1"/>
  <c r="G545" i="1"/>
  <c r="F545" i="1"/>
  <c r="E545" i="1"/>
  <c r="D545" i="1"/>
  <c r="G544" i="1"/>
  <c r="F544" i="1"/>
  <c r="E544" i="1"/>
  <c r="D544" i="1"/>
  <c r="G543" i="1"/>
  <c r="F543" i="1"/>
  <c r="E543" i="1"/>
  <c r="D543" i="1"/>
  <c r="G542" i="1"/>
  <c r="F542" i="1"/>
  <c r="E542" i="1"/>
  <c r="D542" i="1"/>
  <c r="G541" i="1"/>
  <c r="F541" i="1"/>
  <c r="E541" i="1"/>
  <c r="D541" i="1"/>
  <c r="G540" i="1"/>
  <c r="F540" i="1"/>
  <c r="E540" i="1"/>
  <c r="D540" i="1"/>
  <c r="G539" i="1"/>
  <c r="F539" i="1"/>
  <c r="E539" i="1"/>
  <c r="D539" i="1"/>
  <c r="G538" i="1"/>
  <c r="F538" i="1"/>
  <c r="E538" i="1"/>
  <c r="D538" i="1"/>
  <c r="G537" i="1"/>
  <c r="F537" i="1"/>
  <c r="E537" i="1"/>
  <c r="D537" i="1"/>
  <c r="G536" i="1"/>
  <c r="F536" i="1"/>
  <c r="E536" i="1"/>
  <c r="D536" i="1"/>
  <c r="G535" i="1"/>
  <c r="F535" i="1"/>
  <c r="E535" i="1"/>
  <c r="D535" i="1"/>
  <c r="G534" i="1"/>
  <c r="F534" i="1"/>
  <c r="E534" i="1"/>
  <c r="D534" i="1"/>
  <c r="G533" i="1"/>
  <c r="F533" i="1"/>
  <c r="E533" i="1"/>
  <c r="D533" i="1"/>
  <c r="G532" i="1"/>
  <c r="F532" i="1"/>
  <c r="E532" i="1"/>
  <c r="D532" i="1"/>
  <c r="G531" i="1"/>
  <c r="F531" i="1"/>
  <c r="E531" i="1"/>
  <c r="D531" i="1"/>
  <c r="G530" i="1"/>
  <c r="F530" i="1"/>
  <c r="E530" i="1"/>
  <c r="D530" i="1"/>
  <c r="G529" i="1"/>
  <c r="F529" i="1"/>
  <c r="E529" i="1"/>
  <c r="D529" i="1"/>
  <c r="G528" i="1"/>
  <c r="F528" i="1"/>
  <c r="E528" i="1"/>
  <c r="D528" i="1"/>
  <c r="G527" i="1"/>
  <c r="F527" i="1"/>
  <c r="E527" i="1"/>
  <c r="D527" i="1"/>
  <c r="G526" i="1"/>
  <c r="F526" i="1"/>
  <c r="E526" i="1"/>
  <c r="D526" i="1"/>
  <c r="G525" i="1"/>
  <c r="F525" i="1"/>
  <c r="E525" i="1"/>
  <c r="D525" i="1"/>
  <c r="G524" i="1"/>
  <c r="F524" i="1"/>
  <c r="E524" i="1"/>
  <c r="D524" i="1"/>
  <c r="G523" i="1"/>
  <c r="F523" i="1"/>
  <c r="E523" i="1"/>
  <c r="D523" i="1"/>
  <c r="G522" i="1"/>
  <c r="F522" i="1"/>
  <c r="E522" i="1"/>
  <c r="D522" i="1"/>
  <c r="G521" i="1"/>
  <c r="F521" i="1"/>
  <c r="E521" i="1"/>
  <c r="D521" i="1"/>
  <c r="G520" i="1"/>
  <c r="F520" i="1"/>
  <c r="E520" i="1"/>
  <c r="D520" i="1"/>
  <c r="G519" i="1"/>
  <c r="F519" i="1"/>
  <c r="E519" i="1"/>
  <c r="D519" i="1"/>
  <c r="G518" i="1"/>
  <c r="F518" i="1"/>
  <c r="E518" i="1"/>
  <c r="D518" i="1"/>
  <c r="G517" i="1"/>
  <c r="F517" i="1"/>
  <c r="E517" i="1"/>
  <c r="D517" i="1"/>
  <c r="G516" i="1"/>
  <c r="F516" i="1"/>
  <c r="E516" i="1"/>
  <c r="D516" i="1"/>
  <c r="G515" i="1"/>
  <c r="F515" i="1"/>
  <c r="E515" i="1"/>
  <c r="D515" i="1"/>
  <c r="G514" i="1"/>
  <c r="F514" i="1"/>
  <c r="E514" i="1"/>
  <c r="D514" i="1"/>
  <c r="G513" i="1"/>
  <c r="F513" i="1"/>
  <c r="E513" i="1"/>
  <c r="D513" i="1"/>
  <c r="G512" i="1"/>
  <c r="F512" i="1"/>
  <c r="E512" i="1"/>
  <c r="D512" i="1"/>
  <c r="G511" i="1"/>
  <c r="F511" i="1"/>
  <c r="E511" i="1"/>
  <c r="D511" i="1"/>
  <c r="G510" i="1"/>
  <c r="F510" i="1"/>
  <c r="E510" i="1"/>
  <c r="D510" i="1"/>
  <c r="G509" i="1"/>
  <c r="F509" i="1"/>
  <c r="E509" i="1"/>
  <c r="D509" i="1"/>
  <c r="G508" i="1"/>
  <c r="F508" i="1"/>
  <c r="E508" i="1"/>
  <c r="D508" i="1"/>
  <c r="G507" i="1"/>
  <c r="F507" i="1"/>
  <c r="E507" i="1"/>
  <c r="D507" i="1"/>
  <c r="G506" i="1"/>
  <c r="F506" i="1"/>
  <c r="E506" i="1"/>
  <c r="D506" i="1"/>
  <c r="G505" i="1"/>
  <c r="F505" i="1"/>
  <c r="E505" i="1"/>
  <c r="D505" i="1"/>
  <c r="G504" i="1"/>
  <c r="F504" i="1"/>
  <c r="E504" i="1"/>
  <c r="D504" i="1"/>
  <c r="G503" i="1"/>
  <c r="F503" i="1"/>
  <c r="E503" i="1"/>
  <c r="D503" i="1"/>
  <c r="G502" i="1"/>
  <c r="F502" i="1"/>
  <c r="E502" i="1"/>
  <c r="D502" i="1"/>
  <c r="G501" i="1"/>
  <c r="F501" i="1"/>
  <c r="E501" i="1"/>
  <c r="D501" i="1"/>
  <c r="G500" i="1"/>
  <c r="F500" i="1"/>
  <c r="E500" i="1"/>
  <c r="D500" i="1"/>
  <c r="G499" i="1"/>
  <c r="F499" i="1"/>
  <c r="E499" i="1"/>
  <c r="D499" i="1"/>
  <c r="G498" i="1"/>
  <c r="F498" i="1"/>
  <c r="E498" i="1"/>
  <c r="D498" i="1"/>
  <c r="G497" i="1"/>
  <c r="F497" i="1"/>
  <c r="E497" i="1"/>
  <c r="D497" i="1"/>
  <c r="G496" i="1"/>
  <c r="F496" i="1"/>
  <c r="E496" i="1"/>
  <c r="D496" i="1"/>
  <c r="G495" i="1"/>
  <c r="F495" i="1"/>
  <c r="E495" i="1"/>
  <c r="D495" i="1"/>
  <c r="G494" i="1"/>
  <c r="F494" i="1"/>
  <c r="E494" i="1"/>
  <c r="D494" i="1"/>
  <c r="G493" i="1"/>
  <c r="F493" i="1"/>
  <c r="E493" i="1"/>
  <c r="D493" i="1"/>
  <c r="G492" i="1"/>
  <c r="F492" i="1"/>
  <c r="E492" i="1"/>
  <c r="D492" i="1"/>
  <c r="G491" i="1"/>
  <c r="F491" i="1"/>
  <c r="E491" i="1"/>
  <c r="D491" i="1"/>
  <c r="G490" i="1"/>
  <c r="F490" i="1"/>
  <c r="E490" i="1"/>
  <c r="D490" i="1"/>
  <c r="G489" i="1"/>
  <c r="F489" i="1"/>
  <c r="E489" i="1"/>
  <c r="D489" i="1"/>
  <c r="G488" i="1"/>
  <c r="F488" i="1"/>
  <c r="E488" i="1"/>
  <c r="D488" i="1"/>
  <c r="G487" i="1"/>
  <c r="F487" i="1"/>
  <c r="E487" i="1"/>
  <c r="D487" i="1"/>
  <c r="G486" i="1"/>
  <c r="F486" i="1"/>
  <c r="E486" i="1"/>
  <c r="D486" i="1"/>
  <c r="G485" i="1"/>
  <c r="F485" i="1"/>
  <c r="E485" i="1"/>
  <c r="D485" i="1"/>
  <c r="G484" i="1"/>
  <c r="F484" i="1"/>
  <c r="E484" i="1"/>
  <c r="D484" i="1"/>
  <c r="G483" i="1"/>
  <c r="F483" i="1"/>
  <c r="E483" i="1"/>
  <c r="D483" i="1"/>
  <c r="G482" i="1"/>
  <c r="F482" i="1"/>
  <c r="E482" i="1"/>
  <c r="D482" i="1"/>
  <c r="G481" i="1"/>
  <c r="F481" i="1"/>
  <c r="E481" i="1"/>
  <c r="D481" i="1"/>
  <c r="G480" i="1"/>
  <c r="F480" i="1"/>
  <c r="E480" i="1"/>
  <c r="D480" i="1"/>
  <c r="G479" i="1"/>
  <c r="F479" i="1"/>
  <c r="E479" i="1"/>
  <c r="D479" i="1"/>
  <c r="G478" i="1"/>
  <c r="F478" i="1"/>
  <c r="E478" i="1"/>
  <c r="D478" i="1"/>
  <c r="G477" i="1"/>
  <c r="F477" i="1"/>
  <c r="E477" i="1"/>
  <c r="D477" i="1"/>
  <c r="G476" i="1"/>
  <c r="F476" i="1"/>
  <c r="E476" i="1"/>
  <c r="D476" i="1"/>
  <c r="G475" i="1"/>
  <c r="F475" i="1"/>
  <c r="E475" i="1"/>
  <c r="D475" i="1"/>
  <c r="G474" i="1"/>
  <c r="F474" i="1"/>
  <c r="E474" i="1"/>
  <c r="D474" i="1"/>
  <c r="G473" i="1"/>
  <c r="F473" i="1"/>
  <c r="E473" i="1"/>
  <c r="D473" i="1"/>
  <c r="G472" i="1"/>
  <c r="F472" i="1"/>
  <c r="E472" i="1"/>
  <c r="D472" i="1"/>
  <c r="G471" i="1"/>
  <c r="F471" i="1"/>
  <c r="E471" i="1"/>
  <c r="D471" i="1"/>
  <c r="G470" i="1"/>
  <c r="F470" i="1"/>
  <c r="E470" i="1"/>
  <c r="D470" i="1"/>
  <c r="G469" i="1"/>
  <c r="F469" i="1"/>
  <c r="E469" i="1"/>
  <c r="D469" i="1"/>
  <c r="G468" i="1"/>
  <c r="F468" i="1"/>
  <c r="E468" i="1"/>
  <c r="D468" i="1"/>
  <c r="G467" i="1"/>
  <c r="F467" i="1"/>
  <c r="E467" i="1"/>
  <c r="D467" i="1"/>
  <c r="G466" i="1"/>
  <c r="F466" i="1"/>
  <c r="E466" i="1"/>
  <c r="D466" i="1"/>
  <c r="G465" i="1"/>
  <c r="F465" i="1"/>
  <c r="E465" i="1"/>
  <c r="D465" i="1"/>
  <c r="G464" i="1"/>
  <c r="F464" i="1"/>
  <c r="E464" i="1"/>
  <c r="D464" i="1"/>
  <c r="G463" i="1"/>
  <c r="F463" i="1"/>
  <c r="E463" i="1"/>
  <c r="D463" i="1"/>
  <c r="G462" i="1"/>
  <c r="F462" i="1"/>
  <c r="E462" i="1"/>
  <c r="D462" i="1"/>
  <c r="G461" i="1"/>
  <c r="F461" i="1"/>
  <c r="E461" i="1"/>
  <c r="D461" i="1"/>
  <c r="G460" i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8" i="1"/>
  <c r="F428" i="1"/>
  <c r="E428" i="1"/>
  <c r="D428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6" i="1"/>
  <c r="F396" i="1"/>
  <c r="E396" i="1"/>
  <c r="D396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3" i="1"/>
  <c r="F363" i="1"/>
  <c r="E363" i="1"/>
  <c r="D363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1" i="1"/>
  <c r="F331" i="1"/>
  <c r="E331" i="1"/>
  <c r="D331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8" i="1"/>
  <c r="F298" i="1"/>
  <c r="E298" i="1"/>
  <c r="D298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5" i="1"/>
  <c r="F265" i="1"/>
  <c r="E265" i="1"/>
  <c r="D265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3" i="1"/>
  <c r="F233" i="1"/>
  <c r="E233" i="1"/>
  <c r="D233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F226" i="1"/>
  <c r="G226" i="1" s="1"/>
  <c r="D226" i="1"/>
  <c r="E226" i="1" s="1"/>
  <c r="F225" i="1"/>
  <c r="G225" i="1" s="1"/>
  <c r="D225" i="1"/>
  <c r="E225" i="1" s="1"/>
  <c r="F224" i="1"/>
  <c r="G224" i="1" s="1"/>
  <c r="D224" i="1"/>
  <c r="E224" i="1" s="1"/>
  <c r="F223" i="1"/>
  <c r="G223" i="1" s="1"/>
  <c r="D223" i="1"/>
  <c r="E223" i="1" s="1"/>
  <c r="F222" i="1"/>
  <c r="G222" i="1" s="1"/>
  <c r="D222" i="1"/>
  <c r="E222" i="1" s="1"/>
  <c r="F221" i="1"/>
  <c r="G221" i="1" s="1"/>
  <c r="D221" i="1"/>
  <c r="E221" i="1" s="1"/>
  <c r="F220" i="1"/>
  <c r="G220" i="1" s="1"/>
  <c r="D220" i="1"/>
  <c r="E220" i="1" s="1"/>
  <c r="F219" i="1"/>
  <c r="G219" i="1" s="1"/>
  <c r="D219" i="1"/>
  <c r="E219" i="1" s="1"/>
  <c r="F218" i="1"/>
  <c r="G218" i="1" s="1"/>
  <c r="D218" i="1"/>
  <c r="E218" i="1" s="1"/>
  <c r="F217" i="1"/>
  <c r="G217" i="1" s="1"/>
  <c r="D217" i="1"/>
  <c r="E217" i="1" s="1"/>
  <c r="F216" i="1"/>
  <c r="G216" i="1" s="1"/>
  <c r="D216" i="1"/>
  <c r="E216" i="1" s="1"/>
  <c r="F215" i="1"/>
  <c r="G215" i="1" s="1"/>
  <c r="D215" i="1"/>
  <c r="E215" i="1" s="1"/>
  <c r="F214" i="1"/>
  <c r="G214" i="1" s="1"/>
  <c r="D214" i="1"/>
  <c r="E214" i="1" s="1"/>
  <c r="F213" i="1"/>
  <c r="G213" i="1" s="1"/>
  <c r="D213" i="1"/>
  <c r="E213" i="1" s="1"/>
  <c r="F212" i="1"/>
  <c r="G212" i="1" s="1"/>
  <c r="D212" i="1"/>
  <c r="E212" i="1" s="1"/>
  <c r="F211" i="1"/>
  <c r="G211" i="1" s="1"/>
  <c r="D211" i="1"/>
  <c r="E211" i="1" s="1"/>
  <c r="F210" i="1"/>
  <c r="G210" i="1" s="1"/>
  <c r="D210" i="1"/>
  <c r="E210" i="1" s="1"/>
  <c r="F209" i="1"/>
  <c r="G209" i="1" s="1"/>
  <c r="D209" i="1"/>
  <c r="E209" i="1" s="1"/>
  <c r="F208" i="1"/>
  <c r="G208" i="1" s="1"/>
  <c r="D208" i="1"/>
  <c r="E208" i="1" s="1"/>
  <c r="F207" i="1"/>
  <c r="G207" i="1" s="1"/>
  <c r="D207" i="1"/>
  <c r="E207" i="1" s="1"/>
  <c r="F206" i="1"/>
  <c r="G206" i="1" s="1"/>
  <c r="D206" i="1"/>
  <c r="E206" i="1" s="1"/>
  <c r="F205" i="1"/>
  <c r="G205" i="1" s="1"/>
  <c r="D205" i="1"/>
  <c r="E205" i="1" s="1"/>
  <c r="F204" i="1"/>
  <c r="G204" i="1" s="1"/>
  <c r="D204" i="1"/>
  <c r="E204" i="1" s="1"/>
  <c r="F203" i="1"/>
  <c r="G203" i="1" s="1"/>
  <c r="D203" i="1"/>
  <c r="E203" i="1" s="1"/>
  <c r="F202" i="1"/>
  <c r="G202" i="1" s="1"/>
  <c r="D202" i="1"/>
  <c r="E202" i="1" s="1"/>
  <c r="F201" i="1"/>
  <c r="G201" i="1" s="1"/>
  <c r="D201" i="1"/>
  <c r="E201" i="1" s="1"/>
  <c r="F200" i="1"/>
  <c r="G200" i="1" s="1"/>
  <c r="D200" i="1"/>
  <c r="E200" i="1" s="1"/>
  <c r="F199" i="1"/>
  <c r="G199" i="1" s="1"/>
  <c r="D199" i="1"/>
  <c r="E199" i="1" s="1"/>
  <c r="F198" i="1"/>
  <c r="G198" i="1" s="1"/>
  <c r="D198" i="1"/>
  <c r="E198" i="1" s="1"/>
  <c r="F197" i="1"/>
  <c r="G197" i="1" s="1"/>
  <c r="D197" i="1"/>
  <c r="E197" i="1" s="1"/>
  <c r="F196" i="1"/>
  <c r="G196" i="1" s="1"/>
  <c r="D196" i="1"/>
  <c r="E196" i="1" s="1"/>
  <c r="F195" i="1"/>
  <c r="G195" i="1" s="1"/>
  <c r="D195" i="1"/>
  <c r="E195" i="1" s="1"/>
  <c r="F194" i="1"/>
  <c r="G194" i="1" s="1"/>
  <c r="E194" i="1"/>
  <c r="F193" i="1"/>
  <c r="G193" i="1" s="1"/>
  <c r="D193" i="1"/>
  <c r="E193" i="1" s="1"/>
  <c r="F192" i="1"/>
  <c r="G192" i="1" s="1"/>
  <c r="D192" i="1"/>
  <c r="E192" i="1" s="1"/>
  <c r="F191" i="1"/>
  <c r="G191" i="1" s="1"/>
  <c r="D191" i="1"/>
  <c r="E191" i="1" s="1"/>
  <c r="D190" i="1"/>
  <c r="E190" i="1" s="1"/>
  <c r="F190" i="1" s="1"/>
  <c r="G190" i="1" s="1"/>
  <c r="D188" i="1"/>
  <c r="E188" i="1" s="1"/>
  <c r="F188" i="1" s="1"/>
  <c r="G188" i="1" s="1"/>
  <c r="E187" i="1"/>
  <c r="F187" i="1" s="1"/>
  <c r="G187" i="1" s="1"/>
  <c r="D186" i="1"/>
  <c r="E186" i="1" s="1"/>
  <c r="F186" i="1" s="1"/>
  <c r="G186" i="1" s="1"/>
  <c r="D185" i="1"/>
  <c r="E185" i="1" s="1"/>
  <c r="F185" i="1" s="1"/>
  <c r="G185" i="1" s="1"/>
  <c r="D184" i="1"/>
  <c r="E184" i="1" s="1"/>
  <c r="F184" i="1" s="1"/>
  <c r="G184" i="1" s="1"/>
  <c r="D183" i="1"/>
  <c r="E183" i="1" s="1"/>
  <c r="F183" i="1" s="1"/>
  <c r="G183" i="1" s="1"/>
  <c r="D182" i="1"/>
  <c r="E182" i="1" s="1"/>
  <c r="F182" i="1" s="1"/>
  <c r="G182" i="1" s="1"/>
  <c r="D181" i="1"/>
  <c r="E181" i="1" s="1"/>
  <c r="F181" i="1" s="1"/>
  <c r="G181" i="1" s="1"/>
  <c r="D180" i="1"/>
  <c r="E180" i="1" s="1"/>
  <c r="F180" i="1" s="1"/>
  <c r="G180" i="1" s="1"/>
  <c r="D179" i="1"/>
  <c r="E179" i="1" s="1"/>
  <c r="F179" i="1" s="1"/>
  <c r="G179" i="1" s="1"/>
  <c r="D178" i="1"/>
  <c r="E178" i="1" s="1"/>
  <c r="F178" i="1" s="1"/>
  <c r="G178" i="1" s="1"/>
  <c r="D177" i="1"/>
  <c r="E177" i="1" s="1"/>
  <c r="F177" i="1" s="1"/>
  <c r="G177" i="1" s="1"/>
  <c r="D176" i="1"/>
  <c r="E176" i="1" s="1"/>
  <c r="F176" i="1" s="1"/>
  <c r="G176" i="1" s="1"/>
  <c r="D175" i="1"/>
  <c r="E175" i="1" s="1"/>
  <c r="F175" i="1" s="1"/>
  <c r="G175" i="1" s="1"/>
  <c r="D174" i="1"/>
  <c r="E174" i="1" s="1"/>
  <c r="F174" i="1" s="1"/>
  <c r="G174" i="1" s="1"/>
  <c r="D173" i="1"/>
  <c r="E173" i="1" s="1"/>
  <c r="F173" i="1" s="1"/>
  <c r="G173" i="1" s="1"/>
  <c r="D172" i="1"/>
  <c r="E172" i="1" s="1"/>
  <c r="F172" i="1" s="1"/>
  <c r="G172" i="1" s="1"/>
  <c r="D171" i="1"/>
  <c r="E171" i="1" s="1"/>
  <c r="F171" i="1" s="1"/>
  <c r="G171" i="1" s="1"/>
  <c r="D170" i="1"/>
  <c r="E170" i="1" s="1"/>
  <c r="F170" i="1" s="1"/>
  <c r="G170" i="1" s="1"/>
  <c r="D169" i="1"/>
  <c r="E169" i="1" s="1"/>
  <c r="F169" i="1" s="1"/>
  <c r="G169" i="1" s="1"/>
  <c r="D168" i="1"/>
  <c r="E168" i="1" s="1"/>
  <c r="F168" i="1" s="1"/>
  <c r="G168" i="1" s="1"/>
  <c r="D167" i="1"/>
  <c r="E167" i="1" s="1"/>
  <c r="F167" i="1" s="1"/>
  <c r="G167" i="1" s="1"/>
  <c r="D166" i="1"/>
  <c r="E166" i="1" s="1"/>
  <c r="F166" i="1" s="1"/>
  <c r="G166" i="1" s="1"/>
  <c r="D165" i="1"/>
  <c r="E165" i="1" s="1"/>
  <c r="F165" i="1" s="1"/>
  <c r="G165" i="1" s="1"/>
  <c r="D164" i="1"/>
  <c r="E164" i="1" s="1"/>
  <c r="F164" i="1" s="1"/>
  <c r="G164" i="1" s="1"/>
  <c r="D163" i="1"/>
  <c r="E163" i="1" s="1"/>
  <c r="F163" i="1" s="1"/>
  <c r="G163" i="1" s="1"/>
  <c r="D162" i="1"/>
  <c r="E162" i="1" s="1"/>
  <c r="F162" i="1" s="1"/>
  <c r="G162" i="1" s="1"/>
  <c r="D161" i="1"/>
  <c r="E161" i="1" s="1"/>
  <c r="F161" i="1" s="1"/>
  <c r="G161" i="1" s="1"/>
  <c r="D160" i="1"/>
  <c r="E160" i="1" s="1"/>
  <c r="F160" i="1" s="1"/>
  <c r="G160" i="1" s="1"/>
  <c r="D159" i="1"/>
  <c r="E159" i="1" s="1"/>
  <c r="F159" i="1" s="1"/>
  <c r="G159" i="1" s="1"/>
  <c r="D158" i="1"/>
  <c r="E158" i="1" s="1"/>
  <c r="F158" i="1" s="1"/>
  <c r="G158" i="1" s="1"/>
  <c r="F157" i="1"/>
  <c r="G157" i="1" s="1"/>
  <c r="D156" i="1"/>
  <c r="E156" i="1" s="1"/>
  <c r="F156" i="1" s="1"/>
  <c r="G156" i="1" s="1"/>
  <c r="D155" i="1"/>
  <c r="E155" i="1" s="1"/>
  <c r="F155" i="1" s="1"/>
  <c r="G155" i="1" s="1"/>
  <c r="D154" i="1"/>
  <c r="E154" i="1" s="1"/>
  <c r="F154" i="1" s="1"/>
  <c r="G154" i="1" s="1"/>
  <c r="D153" i="1"/>
  <c r="E153" i="1" s="1"/>
  <c r="F153" i="1" s="1"/>
  <c r="G153" i="1" s="1"/>
  <c r="D152" i="1"/>
  <c r="E152" i="1" s="1"/>
  <c r="F152" i="1" s="1"/>
  <c r="G152" i="1" s="1"/>
  <c r="D151" i="1"/>
  <c r="E151" i="1" s="1"/>
  <c r="F151" i="1" s="1"/>
  <c r="G151" i="1" s="1"/>
  <c r="D150" i="1"/>
  <c r="E150" i="1" s="1"/>
  <c r="F150" i="1" s="1"/>
  <c r="G150" i="1" s="1"/>
  <c r="D149" i="1"/>
  <c r="E149" i="1" s="1"/>
  <c r="F149" i="1" s="1"/>
  <c r="G149" i="1" s="1"/>
  <c r="D148" i="1"/>
  <c r="E148" i="1" s="1"/>
  <c r="F148" i="1" s="1"/>
  <c r="G148" i="1" s="1"/>
  <c r="D147" i="1"/>
  <c r="E147" i="1" s="1"/>
  <c r="F147" i="1" s="1"/>
  <c r="G147" i="1" s="1"/>
  <c r="D146" i="1"/>
  <c r="E146" i="1" s="1"/>
  <c r="F146" i="1" s="1"/>
  <c r="G146" i="1" s="1"/>
  <c r="D145" i="1"/>
  <c r="E145" i="1" s="1"/>
  <c r="F145" i="1" s="1"/>
  <c r="G145" i="1" s="1"/>
  <c r="D144" i="1"/>
  <c r="E144" i="1" s="1"/>
  <c r="F144" i="1" s="1"/>
  <c r="G144" i="1" s="1"/>
  <c r="D143" i="1"/>
  <c r="E143" i="1" s="1"/>
  <c r="F143" i="1" s="1"/>
  <c r="G143" i="1" s="1"/>
  <c r="D142" i="1"/>
  <c r="E142" i="1" s="1"/>
  <c r="F142" i="1" s="1"/>
  <c r="G142" i="1" s="1"/>
  <c r="D141" i="1"/>
  <c r="E141" i="1" s="1"/>
  <c r="F141" i="1" s="1"/>
  <c r="G141" i="1" s="1"/>
  <c r="D140" i="1"/>
  <c r="E140" i="1" s="1"/>
  <c r="F140" i="1" s="1"/>
  <c r="G140" i="1" s="1"/>
  <c r="D139" i="1"/>
  <c r="E139" i="1" s="1"/>
  <c r="F139" i="1" s="1"/>
  <c r="G139" i="1" s="1"/>
  <c r="D138" i="1"/>
  <c r="E138" i="1" s="1"/>
  <c r="F138" i="1" s="1"/>
  <c r="G138" i="1" s="1"/>
  <c r="D137" i="1"/>
  <c r="E137" i="1" s="1"/>
  <c r="F137" i="1" s="1"/>
  <c r="G137" i="1" s="1"/>
  <c r="D136" i="1"/>
  <c r="E136" i="1" s="1"/>
  <c r="F136" i="1" s="1"/>
  <c r="G136" i="1" s="1"/>
  <c r="D135" i="1"/>
  <c r="E135" i="1" s="1"/>
  <c r="F135" i="1" s="1"/>
  <c r="G135" i="1" s="1"/>
  <c r="D134" i="1"/>
  <c r="E134" i="1" s="1"/>
  <c r="F134" i="1" s="1"/>
  <c r="G134" i="1" s="1"/>
  <c r="D133" i="1"/>
  <c r="E133" i="1" s="1"/>
  <c r="F133" i="1" s="1"/>
  <c r="G133" i="1" s="1"/>
  <c r="D132" i="1"/>
  <c r="E132" i="1" s="1"/>
  <c r="F132" i="1" s="1"/>
  <c r="G132" i="1" s="1"/>
  <c r="D131" i="1"/>
  <c r="E131" i="1" s="1"/>
  <c r="F131" i="1" s="1"/>
  <c r="G131" i="1" s="1"/>
  <c r="D130" i="1"/>
  <c r="E130" i="1" s="1"/>
  <c r="F130" i="1" s="1"/>
  <c r="G130" i="1" s="1"/>
  <c r="D129" i="1"/>
  <c r="E129" i="1" s="1"/>
  <c r="F129" i="1" s="1"/>
  <c r="G129" i="1" s="1"/>
  <c r="D128" i="1"/>
  <c r="E128" i="1" s="1"/>
  <c r="F128" i="1" s="1"/>
  <c r="G128" i="1" s="1"/>
  <c r="D127" i="1"/>
  <c r="E127" i="1" s="1"/>
  <c r="F127" i="1" s="1"/>
  <c r="G127" i="1" s="1"/>
  <c r="D126" i="1"/>
  <c r="E126" i="1" s="1"/>
  <c r="F126" i="1" s="1"/>
  <c r="G126" i="1" s="1"/>
  <c r="D125" i="1"/>
  <c r="E125" i="1" s="1"/>
  <c r="F125" i="1" s="1"/>
  <c r="G125" i="1" s="1"/>
  <c r="D124" i="1"/>
  <c r="E124" i="1" s="1"/>
  <c r="F124" i="1" s="1"/>
  <c r="G124" i="1" s="1"/>
  <c r="D123" i="1"/>
  <c r="E123" i="1" s="1"/>
  <c r="F123" i="1" s="1"/>
  <c r="G123" i="1" s="1"/>
  <c r="D122" i="1"/>
  <c r="E122" i="1" s="1"/>
  <c r="F122" i="1" s="1"/>
  <c r="G122" i="1" s="1"/>
  <c r="D121" i="1"/>
  <c r="E121" i="1" s="1"/>
  <c r="F121" i="1" s="1"/>
  <c r="G121" i="1" s="1"/>
  <c r="D120" i="1"/>
  <c r="E120" i="1" s="1"/>
  <c r="F120" i="1" s="1"/>
  <c r="G120" i="1" s="1"/>
  <c r="D119" i="1"/>
  <c r="E119" i="1" s="1"/>
  <c r="F119" i="1" s="1"/>
  <c r="G119" i="1" s="1"/>
  <c r="D118" i="1"/>
  <c r="E118" i="1" s="1"/>
  <c r="F118" i="1" s="1"/>
  <c r="G118" i="1" s="1"/>
  <c r="D117" i="1"/>
  <c r="E117" i="1" s="1"/>
  <c r="F117" i="1" s="1"/>
  <c r="G117" i="1" s="1"/>
  <c r="D116" i="1"/>
  <c r="E116" i="1" s="1"/>
  <c r="F116" i="1" s="1"/>
  <c r="G116" i="1" s="1"/>
  <c r="D115" i="1"/>
  <c r="E115" i="1" s="1"/>
  <c r="F115" i="1" s="1"/>
  <c r="G115" i="1" s="1"/>
  <c r="D114" i="1"/>
  <c r="E114" i="1" s="1"/>
  <c r="F114" i="1" s="1"/>
  <c r="G114" i="1" s="1"/>
  <c r="D113" i="1"/>
  <c r="E113" i="1" s="1"/>
  <c r="F113" i="1" s="1"/>
  <c r="G113" i="1" s="1"/>
  <c r="D112" i="1"/>
  <c r="E112" i="1" s="1"/>
  <c r="F112" i="1" s="1"/>
  <c r="G112" i="1" s="1"/>
  <c r="D111" i="1"/>
  <c r="E111" i="1" s="1"/>
  <c r="F111" i="1" s="1"/>
  <c r="G111" i="1" s="1"/>
  <c r="D110" i="1"/>
  <c r="E110" i="1" s="1"/>
  <c r="F110" i="1" s="1"/>
  <c r="G110" i="1" s="1"/>
  <c r="D109" i="1"/>
  <c r="E109" i="1" s="1"/>
  <c r="F109" i="1" s="1"/>
  <c r="G109" i="1" s="1"/>
  <c r="D108" i="1"/>
  <c r="E108" i="1" s="1"/>
  <c r="F108" i="1" s="1"/>
  <c r="G108" i="1" s="1"/>
  <c r="D107" i="1"/>
  <c r="E107" i="1" s="1"/>
  <c r="F107" i="1" s="1"/>
  <c r="G107" i="1" s="1"/>
  <c r="D106" i="1"/>
  <c r="E106" i="1" s="1"/>
  <c r="F106" i="1" s="1"/>
  <c r="G106" i="1" s="1"/>
  <c r="D105" i="1"/>
  <c r="E105" i="1" s="1"/>
  <c r="F105" i="1" s="1"/>
  <c r="G105" i="1" s="1"/>
  <c r="D104" i="1"/>
  <c r="E104" i="1" s="1"/>
  <c r="F104" i="1" s="1"/>
  <c r="G104" i="1" s="1"/>
  <c r="D103" i="1"/>
  <c r="E103" i="1" s="1"/>
  <c r="F103" i="1" s="1"/>
  <c r="G103" i="1" s="1"/>
  <c r="D102" i="1"/>
  <c r="E102" i="1" s="1"/>
  <c r="F102" i="1" s="1"/>
  <c r="G102" i="1" s="1"/>
  <c r="D101" i="1"/>
  <c r="E101" i="1" s="1"/>
  <c r="F101" i="1" s="1"/>
  <c r="G101" i="1" s="1"/>
  <c r="D100" i="1"/>
  <c r="E100" i="1" s="1"/>
  <c r="F100" i="1" s="1"/>
  <c r="G100" i="1" s="1"/>
  <c r="D99" i="1"/>
  <c r="E99" i="1" s="1"/>
  <c r="F99" i="1" s="1"/>
  <c r="G99" i="1" s="1"/>
  <c r="D98" i="1"/>
  <c r="E98" i="1" s="1"/>
  <c r="F98" i="1" s="1"/>
  <c r="G98" i="1" s="1"/>
  <c r="D97" i="1"/>
  <c r="E97" i="1" s="1"/>
  <c r="F97" i="1" s="1"/>
  <c r="G97" i="1" s="1"/>
  <c r="D96" i="1"/>
  <c r="E96" i="1" s="1"/>
  <c r="F96" i="1" s="1"/>
  <c r="G96" i="1" s="1"/>
  <c r="D95" i="1"/>
  <c r="E95" i="1" s="1"/>
  <c r="F95" i="1" s="1"/>
  <c r="G95" i="1" s="1"/>
  <c r="D94" i="1"/>
  <c r="E94" i="1" s="1"/>
  <c r="F94" i="1" s="1"/>
  <c r="G94" i="1" s="1"/>
  <c r="D93" i="1"/>
  <c r="E93" i="1" s="1"/>
  <c r="F93" i="1" s="1"/>
  <c r="G93" i="1" s="1"/>
  <c r="D92" i="1"/>
  <c r="E92" i="1" s="1"/>
  <c r="F92" i="1" s="1"/>
  <c r="G92" i="1" s="1"/>
  <c r="D91" i="1"/>
  <c r="E91" i="1" s="1"/>
  <c r="F91" i="1" s="1"/>
  <c r="G91" i="1" s="1"/>
  <c r="D90" i="1"/>
  <c r="E90" i="1" s="1"/>
  <c r="F90" i="1" s="1"/>
  <c r="G90" i="1" s="1"/>
  <c r="D89" i="1"/>
  <c r="E89" i="1" s="1"/>
  <c r="F89" i="1" s="1"/>
  <c r="G89" i="1" s="1"/>
  <c r="D88" i="1"/>
  <c r="E88" i="1" s="1"/>
  <c r="F88" i="1" s="1"/>
  <c r="G88" i="1" s="1"/>
  <c r="D87" i="1"/>
  <c r="E87" i="1" s="1"/>
  <c r="F87" i="1" s="1"/>
  <c r="G87" i="1" s="1"/>
  <c r="D86" i="1"/>
  <c r="E86" i="1" s="1"/>
  <c r="F86" i="1" s="1"/>
  <c r="G86" i="1" s="1"/>
  <c r="D85" i="1"/>
  <c r="E85" i="1" s="1"/>
  <c r="F85" i="1" s="1"/>
  <c r="G85" i="1" s="1"/>
  <c r="D84" i="1"/>
  <c r="E84" i="1" s="1"/>
  <c r="F84" i="1" s="1"/>
  <c r="G84" i="1" s="1"/>
  <c r="D83" i="1"/>
  <c r="E83" i="1" s="1"/>
  <c r="F83" i="1" s="1"/>
  <c r="G83" i="1" s="1"/>
  <c r="D82" i="1"/>
  <c r="E82" i="1" s="1"/>
  <c r="F82" i="1" s="1"/>
  <c r="G82" i="1" s="1"/>
  <c r="D81" i="1"/>
  <c r="E81" i="1" s="1"/>
  <c r="F81" i="1" s="1"/>
  <c r="G81" i="1" s="1"/>
  <c r="D80" i="1"/>
  <c r="E80" i="1" s="1"/>
  <c r="F80" i="1" s="1"/>
  <c r="G80" i="1" s="1"/>
  <c r="D79" i="1"/>
  <c r="E79" i="1" s="1"/>
  <c r="F79" i="1" s="1"/>
  <c r="G79" i="1" s="1"/>
  <c r="D78" i="1"/>
  <c r="E78" i="1" s="1"/>
  <c r="F78" i="1" s="1"/>
  <c r="G78" i="1" s="1"/>
  <c r="D77" i="1"/>
  <c r="E77" i="1" s="1"/>
  <c r="F77" i="1" s="1"/>
  <c r="G77" i="1" s="1"/>
  <c r="D76" i="1"/>
  <c r="E76" i="1" s="1"/>
  <c r="F76" i="1" s="1"/>
  <c r="G76" i="1" s="1"/>
  <c r="D75" i="1"/>
  <c r="E75" i="1" s="1"/>
  <c r="F75" i="1" s="1"/>
  <c r="G75" i="1" s="1"/>
  <c r="D74" i="1"/>
  <c r="E74" i="1" s="1"/>
  <c r="F74" i="1" s="1"/>
  <c r="G74" i="1" s="1"/>
  <c r="D73" i="1"/>
  <c r="E73" i="1" s="1"/>
  <c r="F73" i="1" s="1"/>
  <c r="G73" i="1" s="1"/>
  <c r="D72" i="1"/>
  <c r="E72" i="1" s="1"/>
  <c r="F72" i="1" s="1"/>
  <c r="G72" i="1" s="1"/>
  <c r="D71" i="1"/>
  <c r="E71" i="1" s="1"/>
  <c r="F71" i="1" s="1"/>
  <c r="G71" i="1" s="1"/>
  <c r="D70" i="1"/>
  <c r="E70" i="1" s="1"/>
  <c r="F70" i="1" s="1"/>
  <c r="G70" i="1" s="1"/>
  <c r="D69" i="1"/>
  <c r="E69" i="1" s="1"/>
  <c r="F69" i="1" s="1"/>
  <c r="G69" i="1" s="1"/>
  <c r="D68" i="1"/>
  <c r="E68" i="1" s="1"/>
  <c r="F68" i="1" s="1"/>
  <c r="G68" i="1" s="1"/>
  <c r="D67" i="1"/>
  <c r="E67" i="1" s="1"/>
  <c r="F67" i="1" s="1"/>
  <c r="G67" i="1" s="1"/>
  <c r="D66" i="1"/>
  <c r="E66" i="1" s="1"/>
  <c r="F66" i="1" s="1"/>
  <c r="G66" i="1" s="1"/>
  <c r="D65" i="1"/>
  <c r="E65" i="1" s="1"/>
  <c r="F65" i="1" s="1"/>
  <c r="G65" i="1" s="1"/>
  <c r="D64" i="1"/>
  <c r="E64" i="1" s="1"/>
  <c r="F64" i="1" s="1"/>
  <c r="G64" i="1" s="1"/>
  <c r="D63" i="1"/>
  <c r="E63" i="1" s="1"/>
  <c r="F63" i="1" s="1"/>
  <c r="G63" i="1" s="1"/>
  <c r="D62" i="1"/>
  <c r="E62" i="1" s="1"/>
  <c r="F62" i="1" s="1"/>
  <c r="G62" i="1" s="1"/>
  <c r="D61" i="1"/>
  <c r="E61" i="1" s="1"/>
  <c r="F61" i="1" s="1"/>
  <c r="G61" i="1" s="1"/>
  <c r="D60" i="1"/>
  <c r="E60" i="1" s="1"/>
  <c r="F60" i="1" s="1"/>
  <c r="G60" i="1" s="1"/>
  <c r="D59" i="1"/>
  <c r="E59" i="1" s="1"/>
  <c r="F59" i="1" s="1"/>
  <c r="G59" i="1" s="1"/>
  <c r="D58" i="1"/>
  <c r="E58" i="1" s="1"/>
  <c r="F58" i="1" s="1"/>
  <c r="G58" i="1" s="1"/>
  <c r="D57" i="1"/>
  <c r="E57" i="1" s="1"/>
  <c r="F57" i="1" s="1"/>
  <c r="G57" i="1" s="1"/>
  <c r="D56" i="1"/>
  <c r="E56" i="1" s="1"/>
  <c r="F56" i="1" s="1"/>
  <c r="G56" i="1" s="1"/>
  <c r="D55" i="1"/>
  <c r="E55" i="1" s="1"/>
  <c r="F55" i="1" s="1"/>
  <c r="G55" i="1" s="1"/>
  <c r="D54" i="1"/>
  <c r="E54" i="1" s="1"/>
  <c r="F54" i="1" s="1"/>
  <c r="G54" i="1" s="1"/>
  <c r="D53" i="1"/>
  <c r="E53" i="1" s="1"/>
  <c r="F53" i="1" s="1"/>
  <c r="G53" i="1" s="1"/>
  <c r="D52" i="1"/>
  <c r="E52" i="1" s="1"/>
  <c r="F52" i="1" s="1"/>
  <c r="G52" i="1" s="1"/>
  <c r="D51" i="1"/>
  <c r="E51" i="1" s="1"/>
  <c r="F51" i="1" s="1"/>
  <c r="G51" i="1" s="1"/>
  <c r="D50" i="1"/>
  <c r="E50" i="1" s="1"/>
  <c r="F50" i="1" s="1"/>
  <c r="G50" i="1" s="1"/>
  <c r="D49" i="1"/>
  <c r="E49" i="1" s="1"/>
  <c r="F49" i="1" s="1"/>
  <c r="G49" i="1" s="1"/>
  <c r="D48" i="1"/>
  <c r="E48" i="1" s="1"/>
  <c r="F48" i="1" s="1"/>
  <c r="G48" i="1" s="1"/>
  <c r="D47" i="1"/>
  <c r="E47" i="1" s="1"/>
  <c r="F47" i="1" s="1"/>
  <c r="G47" i="1" s="1"/>
  <c r="D46" i="1"/>
  <c r="E46" i="1" s="1"/>
  <c r="F46" i="1" s="1"/>
  <c r="G46" i="1" s="1"/>
  <c r="D45" i="1"/>
  <c r="E45" i="1" s="1"/>
  <c r="F45" i="1" s="1"/>
  <c r="G45" i="1" s="1"/>
  <c r="D44" i="1"/>
  <c r="E44" i="1" s="1"/>
  <c r="F44" i="1" s="1"/>
  <c r="G44" i="1" s="1"/>
  <c r="D43" i="1"/>
  <c r="E43" i="1" s="1"/>
  <c r="F43" i="1" s="1"/>
  <c r="G43" i="1" s="1"/>
  <c r="D42" i="1"/>
  <c r="E42" i="1" s="1"/>
  <c r="F42" i="1" s="1"/>
  <c r="G42" i="1" s="1"/>
  <c r="D41" i="1"/>
  <c r="E41" i="1" s="1"/>
  <c r="F41" i="1" s="1"/>
  <c r="G41" i="1" s="1"/>
  <c r="D40" i="1"/>
  <c r="E40" i="1" s="1"/>
  <c r="F40" i="1" s="1"/>
  <c r="G40" i="1" s="1"/>
  <c r="D39" i="1"/>
  <c r="E39" i="1" s="1"/>
  <c r="F39" i="1" s="1"/>
  <c r="G39" i="1" s="1"/>
  <c r="D38" i="1"/>
  <c r="E38" i="1" s="1"/>
  <c r="F38" i="1" s="1"/>
  <c r="G38" i="1" s="1"/>
  <c r="D37" i="1"/>
  <c r="E37" i="1" s="1"/>
  <c r="F37" i="1" s="1"/>
  <c r="G37" i="1" s="1"/>
  <c r="D36" i="1"/>
  <c r="E36" i="1" s="1"/>
  <c r="F36" i="1" s="1"/>
  <c r="G36" i="1" s="1"/>
  <c r="D35" i="1"/>
  <c r="E35" i="1" s="1"/>
  <c r="F35" i="1" s="1"/>
  <c r="G35" i="1" s="1"/>
  <c r="D34" i="1"/>
  <c r="E34" i="1" s="1"/>
  <c r="F34" i="1" s="1"/>
  <c r="G34" i="1" s="1"/>
  <c r="D33" i="1"/>
  <c r="E33" i="1" s="1"/>
  <c r="F33" i="1" s="1"/>
  <c r="G33" i="1" s="1"/>
  <c r="D32" i="1"/>
  <c r="E32" i="1" s="1"/>
  <c r="F32" i="1" s="1"/>
  <c r="G32" i="1" s="1"/>
  <c r="D31" i="1"/>
  <c r="E31" i="1" s="1"/>
  <c r="F31" i="1" s="1"/>
  <c r="G31" i="1" s="1"/>
  <c r="D30" i="1"/>
  <c r="E30" i="1" s="1"/>
  <c r="F30" i="1" s="1"/>
  <c r="G30" i="1" s="1"/>
  <c r="D29" i="1"/>
  <c r="E29" i="1" s="1"/>
  <c r="F29" i="1" s="1"/>
  <c r="G29" i="1" s="1"/>
  <c r="D28" i="1"/>
  <c r="E28" i="1" s="1"/>
  <c r="F28" i="1" s="1"/>
  <c r="G28" i="1" s="1"/>
  <c r="D27" i="1"/>
  <c r="E27" i="1" s="1"/>
  <c r="F27" i="1" s="1"/>
  <c r="G27" i="1" s="1"/>
  <c r="D26" i="1"/>
  <c r="E26" i="1" s="1"/>
  <c r="F26" i="1" s="1"/>
  <c r="G26" i="1" s="1"/>
  <c r="D25" i="1"/>
  <c r="E25" i="1" s="1"/>
  <c r="F25" i="1" s="1"/>
  <c r="G25" i="1" s="1"/>
  <c r="D24" i="1"/>
  <c r="E24" i="1" s="1"/>
  <c r="F24" i="1" s="1"/>
  <c r="G24" i="1" s="1"/>
  <c r="D23" i="1"/>
  <c r="E23" i="1" s="1"/>
  <c r="F23" i="1" s="1"/>
  <c r="G23" i="1" s="1"/>
  <c r="D22" i="1"/>
  <c r="E22" i="1" s="1"/>
  <c r="F22" i="1" s="1"/>
  <c r="G22" i="1" s="1"/>
  <c r="D21" i="1"/>
  <c r="E21" i="1" s="1"/>
  <c r="F21" i="1" s="1"/>
  <c r="G21" i="1" s="1"/>
  <c r="D20" i="1"/>
  <c r="E20" i="1" s="1"/>
  <c r="F20" i="1" s="1"/>
  <c r="G20" i="1" s="1"/>
  <c r="D19" i="1"/>
  <c r="E19" i="1" s="1"/>
  <c r="F19" i="1" s="1"/>
  <c r="G19" i="1" s="1"/>
  <c r="D18" i="1"/>
  <c r="E18" i="1" s="1"/>
  <c r="F18" i="1" s="1"/>
  <c r="G18" i="1" s="1"/>
  <c r="D17" i="1"/>
  <c r="E17" i="1" s="1"/>
  <c r="F17" i="1" s="1"/>
  <c r="G17" i="1" s="1"/>
  <c r="D16" i="1"/>
  <c r="E16" i="1" s="1"/>
  <c r="F16" i="1" s="1"/>
  <c r="G16" i="1" s="1"/>
  <c r="D15" i="1"/>
  <c r="E15" i="1" s="1"/>
  <c r="F15" i="1" s="1"/>
  <c r="G15" i="1" s="1"/>
  <c r="D14" i="1"/>
  <c r="E14" i="1" s="1"/>
  <c r="F14" i="1" s="1"/>
  <c r="G14" i="1" s="1"/>
  <c r="D13" i="1"/>
  <c r="E13" i="1" s="1"/>
  <c r="F13" i="1" s="1"/>
  <c r="G13" i="1" s="1"/>
  <c r="D12" i="1"/>
  <c r="E12" i="1" s="1"/>
  <c r="F12" i="1" s="1"/>
  <c r="G12" i="1" s="1"/>
  <c r="D11" i="1"/>
  <c r="E11" i="1" s="1"/>
  <c r="F11" i="1" s="1"/>
  <c r="G11" i="1" s="1"/>
  <c r="D10" i="1"/>
  <c r="E10" i="1" s="1"/>
  <c r="F10" i="1" s="1"/>
  <c r="G10" i="1" s="1"/>
  <c r="D9" i="1"/>
  <c r="E9" i="1" s="1"/>
  <c r="F9" i="1" s="1"/>
  <c r="G9" i="1" s="1"/>
  <c r="D8" i="1"/>
  <c r="E8" i="1" s="1"/>
  <c r="F8" i="1" s="1"/>
  <c r="G8" i="1" s="1"/>
  <c r="D7" i="1"/>
  <c r="E7" i="1" s="1"/>
  <c r="F7" i="1" s="1"/>
  <c r="G7" i="1" s="1"/>
  <c r="D6" i="1"/>
  <c r="E6" i="1" s="1"/>
  <c r="F6" i="1" s="1"/>
  <c r="G6" i="1" s="1"/>
  <c r="D5" i="1"/>
  <c r="D4" i="1"/>
  <c r="E4" i="1" s="1"/>
  <c r="D3" i="1"/>
  <c r="E3" i="1" s="1"/>
  <c r="F3" i="1" s="1"/>
  <c r="G3" i="1" s="1"/>
  <c r="B1153" i="1" l="1"/>
  <c r="F4" i="1"/>
  <c r="E5" i="1"/>
  <c r="F5" i="1" l="1"/>
  <c r="G5" i="1" s="1"/>
  <c r="B1154" i="1"/>
  <c r="B1156" i="1"/>
  <c r="B1155" i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Eric Song</author>
  </authors>
  <commentList>
    <comment ref="H146" authorId="0" shapeId="0" xr:uid="{865A5EDE-3FC0-458A-98EC-1EEC806708EF}">
      <text>
        <r>
          <rPr>
            <b/>
            <sz val="9"/>
            <color indexed="81"/>
            <rFont val="Tahoma"/>
            <charset val="1"/>
          </rPr>
          <t>Eric Song:</t>
        </r>
        <r>
          <rPr>
            <sz val="9"/>
            <color indexed="81"/>
            <rFont val="Tahoma"/>
            <charset val="1"/>
          </rPr>
          <t xml:space="preserve">
Additional link:
https://csfloat.com/item/954547166276356125</t>
        </r>
      </text>
    </comment>
  </commentList>
</comments>
</file>

<file path=xl/sharedStrings.xml><?xml version="1.0" encoding="utf-8"?>
<sst xmlns="http://schemas.openxmlformats.org/spreadsheetml/2006/main" count="482" uniqueCount="331">
  <si>
    <t>FEE RATE</t>
  </si>
  <si>
    <t>← Change fee rate here</t>
  </si>
  <si>
    <t>Item Name</t>
  </si>
  <si>
    <t>Cost (USD)</t>
  </si>
  <si>
    <t>Sold Price (USD)</t>
  </si>
  <si>
    <t>Fee Amount (USD)</t>
  </si>
  <si>
    <t>Net Sold (USD)</t>
  </si>
  <si>
    <t>Profit (USD)</t>
  </si>
  <si>
    <t>ROI %</t>
  </si>
  <si>
    <t>Link</t>
  </si>
  <si>
    <t>MP9 | Storm</t>
  </si>
  <si>
    <t>https://csfloat.com/item/930206227978390180</t>
  </si>
  <si>
    <t>P2000 | Grassland</t>
  </si>
  <si>
    <t>https://csfloat.com/item/932981064786379122</t>
  </si>
  <si>
    <t>Nova | Polar Mesh</t>
  </si>
  <si>
    <t>https://csfloat.com/item/933101013471201009</t>
  </si>
  <si>
    <t>Nova | Walnut</t>
  </si>
  <si>
    <t>https://csfloat.com/item/933300772848927240</t>
  </si>
  <si>
    <t>P250 | Sand Dune</t>
  </si>
  <si>
    <t>https://csfloat.com/item/933311033232198535</t>
  </si>
  <si>
    <t>M249 | Contrast Spray</t>
  </si>
  <si>
    <t>https://csfloat.com/item/933926567795622430</t>
  </si>
  <si>
    <t>UMP-45 | Scorched</t>
  </si>
  <si>
    <t>https://csfloat.com/item/934050859317330631</t>
  </si>
  <si>
    <t>Sawed-Off | Irradiated Alert</t>
  </si>
  <si>
    <t>https://csfloat.com/item/934828155674430243</t>
  </si>
  <si>
    <t>P90 | Sand Spray</t>
  </si>
  <si>
    <t>https://csfloat.com/item/934829983212372608</t>
  </si>
  <si>
    <t>G3SG1 | Polar Camo</t>
  </si>
  <si>
    <t>https://csfloat.com/item/934829846549366170</t>
  </si>
  <si>
    <t>UMP-45 | Urban DDPAT</t>
  </si>
  <si>
    <t>https://csfloat.com/item/934435233565114657</t>
  </si>
  <si>
    <t>MAG-7 | Sand Dune</t>
  </si>
  <si>
    <t>https://csfloat.com/item/934827439366999962</t>
  </si>
  <si>
    <t>SG 553 | Gator Mesh</t>
  </si>
  <si>
    <t>https://csfloat.com/item/935170135981951645</t>
  </si>
  <si>
    <t>P90 | Fallout Warning</t>
  </si>
  <si>
    <t>https://csfloat.com/item/936213068201985796</t>
  </si>
  <si>
    <t>https://csfloat.com/item/936591251581570329</t>
  </si>
  <si>
    <t>Dual Berettas | Briar</t>
  </si>
  <si>
    <t>https://csfloat.com/item/936591952420406631</t>
  </si>
  <si>
    <t>https://csfloat.com/item/934829155592310593</t>
  </si>
  <si>
    <t>P250 | Bone Mask</t>
  </si>
  <si>
    <t>https://csfloat.com/item/937303453678568940</t>
  </si>
  <si>
    <t>PP-Bizon | Irradiated Alert</t>
  </si>
  <si>
    <t>https://csfloat.com/item/936340708908994031</t>
  </si>
  <si>
    <t>PP-Bizon | Facility Sketch</t>
  </si>
  <si>
    <t>https://csfloat.com/item/937883060723125815</t>
  </si>
  <si>
    <t>MP7 | Orange Peel</t>
  </si>
  <si>
    <t>https://csfloat.com/item/935171660045225459</t>
  </si>
  <si>
    <t>Five-SeveN | Coolant</t>
  </si>
  <si>
    <t>https://csfloat.com/item/939846571065999701</t>
  </si>
  <si>
    <t>AUG | Sweeper</t>
  </si>
  <si>
    <t>https://csfloat.com/item/940221617957637875</t>
  </si>
  <si>
    <t>https://csfloat.com/item/939911838408249274</t>
  </si>
  <si>
    <t>Five-SeveN | Contractor</t>
  </si>
  <si>
    <t>https://csfloat.com/item/938413986125317909</t>
  </si>
  <si>
    <t>https://csfloat.com/item/938779517550464410</t>
  </si>
  <si>
    <t>MAG-7 | Storm</t>
  </si>
  <si>
    <t>https://csfloat.com/item/938413984762169105</t>
  </si>
  <si>
    <t>Negev | Nuclear Waste</t>
  </si>
  <si>
    <t>https://csfloat.com/item/940591883539844261</t>
  </si>
  <si>
    <t>Galil AR | Hunting Blind</t>
  </si>
  <si>
    <t>https://csfloat.com/item/940944212709474995</t>
  </si>
  <si>
    <t>PP-Bizon | Urban Dashed</t>
  </si>
  <si>
    <t>https://csfloat.com/item/940591726421214279</t>
  </si>
  <si>
    <t>G3SG1 | Desert Storm</t>
  </si>
  <si>
    <t>https://csfloat.com/item/941850902548055637</t>
  </si>
  <si>
    <t>SG 553 | Fallout Warning</t>
  </si>
  <si>
    <t>https://csfloat.com/item/942097726928192228</t>
  </si>
  <si>
    <t>SG 553 | Darkwing (Missbid)</t>
  </si>
  <si>
    <t>https://csfloat.com/item/934039534025444054</t>
  </si>
  <si>
    <t>MAG-7 | Irradiated Alert</t>
  </si>
  <si>
    <t>https://csfloat.com/item/940812182675916239</t>
  </si>
  <si>
    <t>Sawed-Off | Sage Spray</t>
  </si>
  <si>
    <t>https://csfloat.com/item/942380198584782121</t>
  </si>
  <si>
    <t>https://csfloat.com/item/942760513484490360</t>
  </si>
  <si>
    <t>https://csfloat.com/item/941167000934286690</t>
  </si>
  <si>
    <t>https://csfloat.com/item/934830290088625061</t>
  </si>
  <si>
    <t>Urban Dashed (Dig Foil kato)</t>
  </si>
  <si>
    <t>https://csfloat.com/item/941411714191196937</t>
  </si>
  <si>
    <t>https://csfloat.com/item/938779511460334940</t>
  </si>
  <si>
    <t>https://csfloat.com/item/934829982532895355</t>
  </si>
  <si>
    <t>MP5-SD | Dirt Drop</t>
  </si>
  <si>
    <t>https://csfloat.com/item/942959406809745713</t>
  </si>
  <si>
    <t>https://csfloat.com/item/942004799925258457</t>
  </si>
  <si>
    <t>https://csfloat.com/item/940591727046165578</t>
  </si>
  <si>
    <t>UMP-45 | Facility Dark</t>
  </si>
  <si>
    <t>https://csfloat.com/item/942380227206712787</t>
  </si>
  <si>
    <t>Souvenir M249 | Contrast Spray</t>
  </si>
  <si>
    <t>https://csfloat.com/item/944971515626128371</t>
  </si>
  <si>
    <t>https://csfloat.com/item/944971514254590943</t>
  </si>
  <si>
    <t>https://csfloat.com/item/945141154431764767</t>
  </si>
  <si>
    <t>MP9 | Slide</t>
  </si>
  <si>
    <t>https://csfloat.com/item/944994492614839976</t>
  </si>
  <si>
    <t>P90 | Scorched</t>
  </si>
  <si>
    <t>https://csfloat.com/item/944923066419513626</t>
  </si>
  <si>
    <t>https://csfloat.com/item/945726167439249190</t>
  </si>
  <si>
    <t>SSG 08 | Detour</t>
  </si>
  <si>
    <t>https://csfloat.com/item/927758697655045968</t>
  </si>
  <si>
    <t>https://csfloat.com/item/945645173096974707</t>
  </si>
  <si>
    <t>https://csfloat.com/item/945740226700118566</t>
  </si>
  <si>
    <t>AUG | Colony</t>
  </si>
  <si>
    <t>https://csfloat.com/item/945740548134799440</t>
  </si>
  <si>
    <t>Dual Berettas | Colony</t>
  </si>
  <si>
    <t>https://csfloat.com/item/945740590572768400</t>
  </si>
  <si>
    <t>https://csfloat.com/item/945741234926915351</t>
  </si>
  <si>
    <t>https://csfloat.com/item/946003544329291803</t>
  </si>
  <si>
    <t>MP5-SD | Neon Squeezer</t>
  </si>
  <si>
    <t>https://csfloat.com/item/944204731776108999</t>
  </si>
  <si>
    <t>https://csfloat.com/item/945812314077135349</t>
  </si>
  <si>
    <t>https://csfloat.com/item/946108551498173520</t>
  </si>
  <si>
    <t>MP9 | Sand Dashed</t>
  </si>
  <si>
    <t>https://csfloat.com/item/946109029795627680</t>
  </si>
  <si>
    <t>https://csfloat.com/item/946189819753661485</t>
  </si>
  <si>
    <t>UMP-45 | Indigo</t>
  </si>
  <si>
    <t>https://csfloat.com/item/946862658613806081</t>
  </si>
  <si>
    <t>https://csfloat.com/item/946106391716826856</t>
  </si>
  <si>
    <t>https://csfloat.com/item/946760700020262579</t>
  </si>
  <si>
    <t>https://csfloat.com/item/946761514428272447</t>
  </si>
  <si>
    <t>https://csfloat.com/item/946853295698348855</t>
  </si>
  <si>
    <t>https://csfloat.com/item/946884882339074030</t>
  </si>
  <si>
    <t>https://csfloat.com/item/947466202215745053</t>
  </si>
  <si>
    <t>https://csfloat.com/item/947222462762975238</t>
  </si>
  <si>
    <t>https://csfloat.com/item/947246760789672354</t>
  </si>
  <si>
    <t>https://csfloat.com/item/947247986092674698</t>
  </si>
  <si>
    <t>https://csfloat.com/item/947250033932240553</t>
  </si>
  <si>
    <t>https://csfloat.com/item/947250750759764219</t>
  </si>
  <si>
    <t>https://csfloat.com/item/946398370040253205</t>
  </si>
  <si>
    <t>https://csfloat.com/item/947801619670633657</t>
  </si>
  <si>
    <t>https://csfloat.com/item/947801616512322722</t>
  </si>
  <si>
    <t>https://csfloat.com/item/947480692823034498</t>
  </si>
  <si>
    <t>https://csfloat.com/item/947509610745562358</t>
  </si>
  <si>
    <t>https://csfloat.com/item/947623786696542937</t>
  </si>
  <si>
    <t>https://csfloat.com/item/947886262558262966</t>
  </si>
  <si>
    <t>https://csfloat.com/item/948001098961128067</t>
  </si>
  <si>
    <t>https://csfloat.com/item/948004501737047119</t>
  </si>
  <si>
    <t>P250 | Facility Draft (Traded PNL)</t>
  </si>
  <si>
    <t>https://csfloat.com/item/943834924299976980</t>
  </si>
  <si>
    <t>https://csfloat.com/item/942078473286058798</t>
  </si>
  <si>
    <t>M4A1-S | Black Lotus</t>
  </si>
  <si>
    <t>https://csfloat.com/item/948080767446157432</t>
  </si>
  <si>
    <t>https://csfloat.com/item/948189740736316865</t>
  </si>
  <si>
    <t>https://csfloat.com/item/948537692826767343</t>
  </si>
  <si>
    <t>MP7 | Gunsmoke</t>
  </si>
  <si>
    <t>https://csfloat.com/item/948250348336841644</t>
  </si>
  <si>
    <t>https://csfloat.com/item/948263132147614308</t>
  </si>
  <si>
    <t>https://csfloat.com/item/948352809093434930</t>
  </si>
  <si>
    <t>https://csfloat.com/item/948551240596456468</t>
  </si>
  <si>
    <t>https://csfloat.com/item/948756641581499554</t>
  </si>
  <si>
    <t>https://csfloat.com/item/948757048600953841</t>
  </si>
  <si>
    <t>Nova | Predator</t>
  </si>
  <si>
    <t>https://csfloat.com/item/948789243306707806</t>
  </si>
  <si>
    <t>https://csfloat.com/item/949136280883693890</t>
  </si>
  <si>
    <t>https://csfloat.com/item/949556319088672984</t>
  </si>
  <si>
    <t>Glock-18 | Groundwater</t>
  </si>
  <si>
    <t>https://csfloat.com/item/949681923385590936</t>
  </si>
  <si>
    <t>P90 | Storm</t>
  </si>
  <si>
    <t>https://csfloat.com/item/949904388057599616</t>
  </si>
  <si>
    <t>https://csfloat.com/item/948170488490887098</t>
  </si>
  <si>
    <t>SCAR-20 | Storm</t>
  </si>
  <si>
    <t>https://csfloat.com/item/950030596619502555</t>
  </si>
  <si>
    <t>https://csfloat.com/item/938779521153371608</t>
  </si>
  <si>
    <t>https://csfloat.com/item/950118571462231173</t>
  </si>
  <si>
    <t>https://csfloat.com/item/950179609591285199</t>
  </si>
  <si>
    <t>https://csfloat.com/item/950194285779748482</t>
  </si>
  <si>
    <t>https://csfloat.com/item/950408521852258761</t>
  </si>
  <si>
    <t>https://csfloat.com/item/950436599865411484</t>
  </si>
  <si>
    <t>https://csfloat.com/item/950436803373041301</t>
  </si>
  <si>
    <t>https://csfloat.com/item/946106391041543906</t>
  </si>
  <si>
    <t>https://csfloat.com/item/950688931496724372</t>
  </si>
  <si>
    <t>Negev | Bulkhead</t>
  </si>
  <si>
    <t>https://csfloat.com/item/950705058616576899</t>
  </si>
  <si>
    <t>https://csfloat.com/item/948911720125040947</t>
  </si>
  <si>
    <t>https://csfloat.com/item/950769536070714926</t>
  </si>
  <si>
    <t>MAC-10 | Indigo</t>
  </si>
  <si>
    <t>https://csfloat.com/item/950769725267382049</t>
  </si>
  <si>
    <t>https://csfloat.com/item/938779519496621493</t>
  </si>
  <si>
    <t>https://csfloat.com/item/951102162673467718</t>
  </si>
  <si>
    <t>https://csfloat.com/item/951416906269722366</t>
  </si>
  <si>
    <t>https://csfloat.com/item/951383126066725557</t>
  </si>
  <si>
    <t>https://csfloat.com/item/951800389328569363</t>
  </si>
  <si>
    <t>https://csfloat.com/item/947801644626742614</t>
  </si>
  <si>
    <t>https://csfloat.com/item/948170489141004220</t>
  </si>
  <si>
    <t>G3SG1 | Safari Mesh</t>
  </si>
  <si>
    <t>https://csfloat.com/item/952878158233863637</t>
  </si>
  <si>
    <t>MAG-7 | Rust Coat</t>
  </si>
  <si>
    <t>https://csfloat.com/item/953256612414489672</t>
  </si>
  <si>
    <t>https://csfloat.com/item/953287195467318179</t>
  </si>
  <si>
    <t>Tec-9 | Groundwater</t>
  </si>
  <si>
    <t>https://csfloat.com/item/953651714240677538</t>
  </si>
  <si>
    <t>SSG 08 | Blue Spruce</t>
  </si>
  <si>
    <t>https://csfloat.com/item/954379885516819412</t>
  </si>
  <si>
    <t>SCAR-20 | Sand Mesh</t>
  </si>
  <si>
    <t>https://csfloat.com/item/954026894381156288</t>
  </si>
  <si>
    <t>https://csfloat.com/item/954029672579072587</t>
  </si>
  <si>
    <t>https://csfloat.com/item/954148449169834121</t>
  </si>
  <si>
    <t>https://csfloat.com/item/954224244781353596</t>
  </si>
  <si>
    <t>https://csfloat.com/item/954266926471842562</t>
  </si>
  <si>
    <t>https://csfloat.com/item/952528828411021687</t>
  </si>
  <si>
    <t>https://csfloat.com/item/939850430580657762</t>
  </si>
  <si>
    <t>https://csfloat.com/item/954753977667423111</t>
  </si>
  <si>
    <t>https://csfloat.com/item/954781701949753004</t>
  </si>
  <si>
    <t>USP-S | 027</t>
  </si>
  <si>
    <t>https://csfloat.com/item/953385836072799387</t>
  </si>
  <si>
    <t>https://csfloat.com/item/955475297279542908</t>
  </si>
  <si>
    <t>https://csfloat.com/item/955505926679431399</t>
  </si>
  <si>
    <t>Nova | Mandrel</t>
  </si>
  <si>
    <t>https://csfloat.com/item/955509687736991792</t>
  </si>
  <si>
    <t>AUG | Radiation Hazard</t>
  </si>
  <si>
    <t>https://csfloat.com/item/955874746413746579</t>
  </si>
  <si>
    <t>https://csfloat.com/item/956567270467962650</t>
  </si>
  <si>
    <t>Stuff (Too lazy to check)</t>
  </si>
  <si>
    <t xml:space="preserve">https://csfloat.com/item/944922592052117660 | https://csfloat.com/item/954547166276356125 | </t>
  </si>
  <si>
    <t>https://csfloat.com/item/955802046601235268</t>
  </si>
  <si>
    <t>https://csfloat.com/item/954546325343568104</t>
  </si>
  <si>
    <t>https://csfloat.com/item/956593208299751627</t>
  </si>
  <si>
    <t>https://csfloat.com/item/956684959337285240</t>
  </si>
  <si>
    <t>https://csfloat.com/item/956945003496737019</t>
  </si>
  <si>
    <t>https://csfloat.com/item/957031296893324684</t>
  </si>
  <si>
    <t>https://csfloat.com/item/957337972347374327</t>
  </si>
  <si>
    <t>https://csfloat.com/item/957362320961571582</t>
  </si>
  <si>
    <t>https://csfloat.com/item/957395899129136348</t>
  </si>
  <si>
    <t>https://csfloat.com/item/957412522934275253</t>
  </si>
  <si>
    <t>https://csfloat.com/item/957458412889833734</t>
  </si>
  <si>
    <t>https://csfloat.com/item/957655959067561518</t>
  </si>
  <si>
    <t>https://csfloat.com/item/957821121997177518</t>
  </si>
  <si>
    <t>https://csfloat.com/item/957988871260474075</t>
  </si>
  <si>
    <t>https://csfloat.com/item/958033797989927260</t>
  </si>
  <si>
    <t>https://csfloat.com/item/958410511551170988</t>
  </si>
  <si>
    <t>https://csfloat.com/item/958513248251021384</t>
  </si>
  <si>
    <t>AK-47 | Slate</t>
  </si>
  <si>
    <t>https://csfloat.com/item/958790151134383599</t>
  </si>
  <si>
    <t>UMP-45 | Mudder</t>
  </si>
  <si>
    <t>https://csfloat.com/item/958846548018594248</t>
  </si>
  <si>
    <t>https://csfloat.com/item/958891316132053496</t>
  </si>
  <si>
    <t>Random Sales</t>
  </si>
  <si>
    <t xml:space="preserve">https://csfloat.com/item/938779518829727146, https://csfloat.com/item/938779520515837381, </t>
  </si>
  <si>
    <t>https://csfloat.com/item/946106389204438729</t>
  </si>
  <si>
    <t>https://csfloat.com/item/942380197964025124</t>
  </si>
  <si>
    <t>★ Bowie Knife | Lore</t>
  </si>
  <si>
    <t>https://csfloat.com/item/959151321733268212</t>
  </si>
  <si>
    <t>https://csfloat.com/item/959179849707162087</t>
  </si>
  <si>
    <t>https://csfloat.com/item/959212933307567362</t>
  </si>
  <si>
    <t>https://csfloat.com/item/959213132943852856</t>
  </si>
  <si>
    <t>https://csfloat.com/item/959213322442509648</t>
  </si>
  <si>
    <t>https://csfloat.com/item/959213710012976039</t>
  </si>
  <si>
    <t>https://csfloat.com/item/959265050001018671</t>
  </si>
  <si>
    <t>https://csfloat.com/item/959584093111189799</t>
  </si>
  <si>
    <t>Desert Eagle | Urban DDPAT</t>
  </si>
  <si>
    <t>https://csfloat.com/item/959642734723993157</t>
  </si>
  <si>
    <t>https://csfloat.com/item/959643770805158677</t>
  </si>
  <si>
    <t>https://csfloat.com/item/959874117442602443</t>
  </si>
  <si>
    <t>Five-SeveN | Forest Night</t>
  </si>
  <si>
    <t>https://csfloat.com/item/959965942731902672</t>
  </si>
  <si>
    <t>https://csfloat.com/item/959982098876335272</t>
  </si>
  <si>
    <t>https://csfloat.com/item/960036106232008005</t>
  </si>
  <si>
    <t>random</t>
  </si>
  <si>
    <t>https://csfloat.com/item/959970442528031853, https://csfloat.com/item/946110998966832483</t>
  </si>
  <si>
    <t>https://csfloat.com/item/960375281502261138</t>
  </si>
  <si>
    <t>P250 | Contamination</t>
  </si>
  <si>
    <t>https://csfloat.com/item/960461212737473793</t>
  </si>
  <si>
    <t>PP-Bizon | Chemical Green</t>
  </si>
  <si>
    <t>https://csfloat.com/item/960862502537793053</t>
  </si>
  <si>
    <t>https://csfloat.com/item/960613026904539349</t>
  </si>
  <si>
    <t>https://csfloat.com/item/960731975050725575</t>
  </si>
  <si>
    <t>Mix</t>
  </si>
  <si>
    <t>https://csfloat.com/item/946106389858750158, https://csfloat.com/item/947801618236181684</t>
  </si>
  <si>
    <t>https://csfloat.com/item/948911799212838069</t>
  </si>
  <si>
    <t>https://csfloat.com/item/951450005997227289</t>
  </si>
  <si>
    <t>https://csfloat.com/item/955066633146208125</t>
  </si>
  <si>
    <t>https://csfloat.com/item/942959435742054935</t>
  </si>
  <si>
    <t>https://csfloat.com/item/954546326824157435</t>
  </si>
  <si>
    <t>https://csfloat.com/item/954881384474870444</t>
  </si>
  <si>
    <t>https://csfloat.com/item/961365813804270647</t>
  </si>
  <si>
    <t>https://csfloat.com/item/961503845022830574</t>
  </si>
  <si>
    <t>https://csfloat.com/item/961580822488548075</t>
  </si>
  <si>
    <t>https://csfloat.com/item/961626373775033887</t>
  </si>
  <si>
    <t>https://csfloat.com/item/961652134871437063</t>
  </si>
  <si>
    <t>https://csfloat.com/item/961958831401862559</t>
  </si>
  <si>
    <t>AK-47 | Redline</t>
  </si>
  <si>
    <t>https://csfloat.com/item/961968839082512054</t>
  </si>
  <si>
    <t>https://csfloat.com/item/962410023550583376</t>
  </si>
  <si>
    <t>https://csfloat.com/item/962438688053267379</t>
  </si>
  <si>
    <t>https://csfloat.com/item/962300317385492169</t>
  </si>
  <si>
    <t>https://csfloat.com/item/962663033027560205</t>
  </si>
  <si>
    <t>https://csfloat.com/item/963046702703578929</t>
  </si>
  <si>
    <t>https://csfloat.com/item/962711846069077559</t>
  </si>
  <si>
    <t>Desert Eagle | Light Rail (+$1 charm sold)</t>
  </si>
  <si>
    <t>https://csfloat.com/item/961574156326014238</t>
  </si>
  <si>
    <t>https://csfloat.com/item/962712874139124199</t>
  </si>
  <si>
    <t>https://csfloat.com/item/963060015869067519</t>
  </si>
  <si>
    <t>https://csfloat.com/item/963089295399324293</t>
  </si>
  <si>
    <t>https://csfloat.com/item/963390180134358800</t>
  </si>
  <si>
    <t>https://csfloat.com/item/963404806863588114</t>
  </si>
  <si>
    <t>https://csfloat.com/item/963720367988409030</t>
  </si>
  <si>
    <t>https://csfloat.com/item/963858679130623075</t>
  </si>
  <si>
    <t>https://csfloat.com/item/964099031791961772</t>
  </si>
  <si>
    <t>https://csfloat.com/item/964524834472201413</t>
  </si>
  <si>
    <t>MAC-10 | Rangeen</t>
  </si>
  <si>
    <t>https://csfloat.com/item/961001226261105988</t>
  </si>
  <si>
    <t>https://csfloat.com/item/964914407253607817</t>
  </si>
  <si>
    <t>https://csfloat.com/item/965007350320728889</t>
  </si>
  <si>
    <t>https://csfloat.com/item/965569327971568522</t>
  </si>
  <si>
    <t>https://csfloat.com/item/965220218630702759</t>
  </si>
  <si>
    <t>https://csfloat.com/item/965237120019073325</t>
  </si>
  <si>
    <t>https://csfloat.com/item/965308030273061280</t>
  </si>
  <si>
    <t>https://csfloat.com/item/965353105216638610</t>
  </si>
  <si>
    <t>https://csfloat.com/item/965614203257884205</t>
  </si>
  <si>
    <t>https://csfloat.com/item/965637419103814386</t>
  </si>
  <si>
    <t>https://csfloat.com/item/965685508523034467</t>
  </si>
  <si>
    <t>https://csfloat.com/item/965685709639910362</t>
  </si>
  <si>
    <t>https://csfloat.com/item/965991154627774869</t>
  </si>
  <si>
    <t>https://csfloat.com/item/966063695807514346</t>
  </si>
  <si>
    <t>https://csfloat.com/item/966090617539137273</t>
  </si>
  <si>
    <t>https://csfloat.com/item/966201021326033722</t>
  </si>
  <si>
    <t>https://csfloat.com/item/966307563404659890</t>
  </si>
  <si>
    <t>📊 SUMMARY</t>
  </si>
  <si>
    <t>Total Items Sold</t>
  </si>
  <si>
    <t>Total Cost</t>
  </si>
  <si>
    <t>Total Revenue (Sold)</t>
  </si>
  <si>
    <t>Total Fees Paid</t>
  </si>
  <si>
    <t>Total Net Revenue</t>
  </si>
  <si>
    <t>Total Profit</t>
  </si>
  <si>
    <t>Overall ROI %</t>
  </si>
  <si>
    <t>💡 Info</t>
  </si>
  <si>
    <t>1. As of 2026-03-07 all sales &lt;0.7 USD will not be tracked.</t>
  </si>
  <si>
    <t>2. Type Item Name in col A, Cost in col B, Sold Price in col C.</t>
  </si>
  <si>
    <t>3. Fee, Net Sold, Profit and ROI % calculate automatically.</t>
  </si>
  <si>
    <t>4. To change fee rate, update cell B1. All rows update instantly.</t>
  </si>
  <si>
    <t>5. If you run out of rows, the next 1000 rows are pre-formatted!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</si>
</sst>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"/>
  </numFmts>
  <fonts count="22">
    <font>
      <sz val="11"/>
      <color theme="1"/>
      <name val="Calibri"/>
      <family val="2"/>
      <charset val="1"/>
    </font>
    <font>
      <b/>
      <sz val="11"/>
      <color rgb="FFFFD700"/>
      <name val="Arial"/>
      <charset val="1"/>
    </font>
    <font>
      <b/>
      <sz val="11"/>
      <color rgb="FFE94560"/>
      <name val="Arial"/>
      <charset val="1"/>
    </font>
    <font>
      <i/>
      <sz val="10"/>
      <color rgb="FFCCCCCC"/>
      <name val="Arial"/>
      <charset val="1"/>
    </font>
    <font>
      <b/>
      <sz val="10"/>
      <color rgb="FFFFFFFF"/>
      <name val="Arial"/>
      <charset val="1"/>
    </font>
    <font>
      <sz val="10"/>
      <color rgb="FFFFFFFF"/>
      <name val="Arial"/>
      <charset val="1"/>
    </font>
    <font>
      <sz val="10"/>
      <color rgb="FFCCCCCC"/>
      <name val="Arial"/>
      <charset val="1"/>
    </font>
    <font>
      <sz val="10"/>
      <color rgb="FFFFD700"/>
      <name val="Arial"/>
      <charset val="1"/>
    </font>
    <font>
      <sz val="10"/>
      <color rgb="FF00D4AA"/>
      <name val="Arial"/>
      <charset val="1"/>
    </font>
    <font>
      <u/>
      <sz val="9"/>
      <color rgb="FF4FC3F7"/>
      <name val="Arial"/>
      <charset val="1"/>
    </font>
    <font>
      <u/>
      <sz val="11"/>
      <color theme="10"/>
      <name val="Calibri"/>
      <family val="2"/>
      <charset val="1"/>
    </font>
    <font>
      <sz val="10"/>
      <color rgb="FF00FF7F"/>
      <name val="Arial"/>
    </font>
    <font>
      <b/>
      <sz val="10"/>
      <color rgb="FF00FF7F"/>
      <name val="Arial"/>
    </font>
    <font>
      <sz val="10"/>
      <color rgb="FF4FC3F7"/>
      <name val="Arial"/>
    </font>
    <font>
      <b/>
      <sz val="10"/>
      <color rgb="FF4FC3F7"/>
      <name val="Arial"/>
    </font>
    <font>
      <sz val="10"/>
      <color rgb="FFFF6B6B"/>
      <name val="Arial"/>
      <charset val="1"/>
    </font>
    <font>
      <sz val="11"/>
      <color rgb="FFFF6B6B"/>
      <name val="Calibri"/>
      <family val="2"/>
      <charset val="1"/>
    </font>
    <font>
      <b/>
      <sz val="10"/>
      <color rgb="FFFF6B6B"/>
      <name val="Arial"/>
      <charset val="1"/>
    </font>
    <font>
      <b/>
      <sz val="11"/>
      <color rgb="FFFF6B6B"/>
      <name val="Arial"/>
      <charset val="1"/>
    </font>
    <font>
      <sz val="11"/>
      <color rgb="FFFFD700"/>
      <name val="Calibri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0" fontId="0" fillId="2" borderId="0" xfId="0" applyFill="1"/>
    <xf numFmtId="0" fontId="4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horizontal="center" vertical="center"/>
    </xf>
    <xf numFmtId="165" fontId="8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165" fontId="7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10" fillId="5" borderId="1" xfId="1" applyFill="1" applyBorder="1" applyAlignment="1">
      <alignment vertical="center"/>
    </xf>
    <xf numFmtId="0" fontId="10" fillId="0" borderId="0" xfId="1"/>
    <xf numFmtId="0" fontId="10" fillId="4" borderId="1" xfId="1" applyFill="1" applyBorder="1" applyAlignment="1">
      <alignment vertical="center"/>
    </xf>
    <xf numFmtId="165" fontId="11" fillId="4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0" fontId="11" fillId="0" borderId="0" xfId="0" applyFont="1"/>
    <xf numFmtId="164" fontId="13" fillId="4" borderId="1" xfId="0" applyNumberFormat="1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horizontal="center" vertical="center"/>
    </xf>
    <xf numFmtId="0" fontId="13" fillId="0" borderId="0" xfId="0" applyFont="1"/>
    <xf numFmtId="165" fontId="15" fillId="4" borderId="1" xfId="0" applyNumberFormat="1" applyFont="1" applyFill="1" applyBorder="1" applyAlignment="1">
      <alignment horizontal="center" vertical="center"/>
    </xf>
    <xf numFmtId="165" fontId="15" fillId="5" borderId="1" xfId="0" applyNumberFormat="1" applyFont="1" applyFill="1" applyBorder="1" applyAlignment="1">
      <alignment horizontal="center" vertical="center"/>
    </xf>
    <xf numFmtId="165" fontId="16" fillId="4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6" fillId="2" borderId="0" xfId="0" applyFont="1" applyFill="1"/>
    <xf numFmtId="3" fontId="17" fillId="2" borderId="1" xfId="0" applyNumberFormat="1" applyFont="1" applyFill="1" applyBorder="1" applyAlignment="1">
      <alignment horizontal="center" vertical="center"/>
    </xf>
    <xf numFmtId="165" fontId="17" fillId="2" borderId="1" xfId="0" applyNumberFormat="1" applyFont="1" applyFill="1" applyBorder="1" applyAlignment="1">
      <alignment horizontal="center" vertical="center"/>
    </xf>
    <xf numFmtId="164" fontId="17" fillId="2" borderId="1" xfId="0" applyNumberFormat="1" applyFont="1" applyFill="1" applyBorder="1" applyAlignment="1">
      <alignment horizontal="center" vertical="center"/>
    </xf>
    <xf numFmtId="165" fontId="19" fillId="4" borderId="1" xfId="0" applyNumberFormat="1" applyFont="1" applyFill="1" applyBorder="1" applyAlignment="1">
      <alignment horizontal="center" vertical="center"/>
    </xf>
    <xf numFmtId="165" fontId="19" fillId="5" borderId="1" xfId="0" applyNumberFormat="1" applyFont="1" applyFill="1" applyBorder="1" applyAlignment="1">
      <alignment horizontal="center" vertical="center"/>
    </xf>
    <xf numFmtId="0" fontId="19" fillId="0" borderId="0" xfId="0" applyFont="1"/>
    <xf numFmtId="0" fontId="6" fillId="5" borderId="0" xfId="0" applyFont="1" applyFill="1" applyAlignment="1">
      <alignment vertical="center"/>
    </xf>
    <xf numFmtId="0" fontId="15" fillId="5" borderId="0" xfId="0" applyFont="1" applyFill="1" applyAlignment="1">
      <alignment vertical="center"/>
    </xf>
    <xf numFmtId="0" fontId="7" fillId="5" borderId="0" xfId="0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3" fillId="5" borderId="0" xfId="0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8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4" fillId="5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BA16477-E6DC-4387-91BB-66B19AD6208D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2f262767-beef-4d0c-933c-664bb1fd2a8f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sfloat.com/item/959179849707162087" TargetMode="External"/><Relationship Id="rId21" Type="http://schemas.openxmlformats.org/officeDocument/2006/relationships/hyperlink" Target="https://csfloat.com/item/958846548018594248" TargetMode="External"/><Relationship Id="rId42" Type="http://schemas.openxmlformats.org/officeDocument/2006/relationships/hyperlink" Target="https://csfloat.com/item/960862502537793053" TargetMode="External"/><Relationship Id="rId47" Type="http://schemas.openxmlformats.org/officeDocument/2006/relationships/hyperlink" Target="https://csfloat.com/item/951450005997227289" TargetMode="External"/><Relationship Id="rId63" Type="http://schemas.openxmlformats.org/officeDocument/2006/relationships/hyperlink" Target="https://csfloat.com/item/963046702703578929" TargetMode="External"/><Relationship Id="rId68" Type="http://schemas.openxmlformats.org/officeDocument/2006/relationships/hyperlink" Target="https://csfloat.com/item/963089295399324293" TargetMode="External"/><Relationship Id="rId84" Type="http://schemas.openxmlformats.org/officeDocument/2006/relationships/hyperlink" Target="https://csfloat.com/item/965614203257884205" TargetMode="External"/><Relationship Id="rId89" Type="http://schemas.openxmlformats.org/officeDocument/2006/relationships/hyperlink" Target="https://csfloat.com/item/966063695807514346" TargetMode="External"/><Relationship Id="rId16" Type="http://schemas.openxmlformats.org/officeDocument/2006/relationships/hyperlink" Target="https://csfloat.com/item/958033797989927260" TargetMode="External"/><Relationship Id="rId11" Type="http://schemas.openxmlformats.org/officeDocument/2006/relationships/hyperlink" Target="https://csfloat.com/item/957412522934275253" TargetMode="External"/><Relationship Id="rId32" Type="http://schemas.openxmlformats.org/officeDocument/2006/relationships/hyperlink" Target="https://csfloat.com/item/959584093111189799" TargetMode="External"/><Relationship Id="rId37" Type="http://schemas.openxmlformats.org/officeDocument/2006/relationships/hyperlink" Target="https://csfloat.com/item/959982098876335272" TargetMode="External"/><Relationship Id="rId53" Type="http://schemas.openxmlformats.org/officeDocument/2006/relationships/hyperlink" Target="https://csfloat.com/item/961503845022830574" TargetMode="External"/><Relationship Id="rId58" Type="http://schemas.openxmlformats.org/officeDocument/2006/relationships/hyperlink" Target="https://csfloat.com/item/961968839082512054" TargetMode="External"/><Relationship Id="rId74" Type="http://schemas.openxmlformats.org/officeDocument/2006/relationships/hyperlink" Target="https://csfloat.com/item/964524834472201413" TargetMode="External"/><Relationship Id="rId79" Type="http://schemas.openxmlformats.org/officeDocument/2006/relationships/hyperlink" Target="https://csfloat.com/item/965569327971568522" TargetMode="External"/><Relationship Id="rId5" Type="http://schemas.openxmlformats.org/officeDocument/2006/relationships/hyperlink" Target="https://csfloat.com/item/956684959337285240" TargetMode="External"/><Relationship Id="rId90" Type="http://schemas.openxmlformats.org/officeDocument/2006/relationships/hyperlink" Target="https://csfloat.com/item/966090617539137273" TargetMode="External"/><Relationship Id="rId22" Type="http://schemas.openxmlformats.org/officeDocument/2006/relationships/hyperlink" Target="https://csfloat.com/item/938779518829727146,%20https:/csfloat.com/item/938779520515837381," TargetMode="External"/><Relationship Id="rId27" Type="http://schemas.openxmlformats.org/officeDocument/2006/relationships/hyperlink" Target="https://csfloat.com/item/959212933307567362" TargetMode="External"/><Relationship Id="rId43" Type="http://schemas.openxmlformats.org/officeDocument/2006/relationships/hyperlink" Target="https://csfloat.com/item/960613026904539349" TargetMode="External"/><Relationship Id="rId48" Type="http://schemas.openxmlformats.org/officeDocument/2006/relationships/hyperlink" Target="https://csfloat.com/item/955066633146208125" TargetMode="External"/><Relationship Id="rId64" Type="http://schemas.openxmlformats.org/officeDocument/2006/relationships/hyperlink" Target="https://csfloat.com/item/962711846069077559" TargetMode="External"/><Relationship Id="rId69" Type="http://schemas.openxmlformats.org/officeDocument/2006/relationships/hyperlink" Target="https://csfloat.com/item/963390180134358800" TargetMode="External"/><Relationship Id="rId8" Type="http://schemas.openxmlformats.org/officeDocument/2006/relationships/hyperlink" Target="https://csfloat.com/item/957337972347374327" TargetMode="External"/><Relationship Id="rId51" Type="http://schemas.openxmlformats.org/officeDocument/2006/relationships/hyperlink" Target="https://csfloat.com/item/954881384474870444" TargetMode="External"/><Relationship Id="rId72" Type="http://schemas.openxmlformats.org/officeDocument/2006/relationships/hyperlink" Target="https://csfloat.com/item/963858679130623075" TargetMode="External"/><Relationship Id="rId80" Type="http://schemas.openxmlformats.org/officeDocument/2006/relationships/hyperlink" Target="https://csfloat.com/item/965220218630702759" TargetMode="External"/><Relationship Id="rId85" Type="http://schemas.openxmlformats.org/officeDocument/2006/relationships/hyperlink" Target="https://csfloat.com/item/965637419103814386" TargetMode="External"/><Relationship Id="rId93" Type="http://schemas.openxmlformats.org/officeDocument/2006/relationships/vmlDrawing" Target="../drawings/vmlDrawing1.vml"/><Relationship Id="rId3" Type="http://schemas.openxmlformats.org/officeDocument/2006/relationships/hyperlink" Target="https://csfloat.com/item/956567270467962650" TargetMode="External"/><Relationship Id="rId12" Type="http://schemas.openxmlformats.org/officeDocument/2006/relationships/hyperlink" Target="https://csfloat.com/item/957458412889833734" TargetMode="External"/><Relationship Id="rId17" Type="http://schemas.openxmlformats.org/officeDocument/2006/relationships/hyperlink" Target="https://csfloat.com/item/958410511551170988" TargetMode="External"/><Relationship Id="rId25" Type="http://schemas.openxmlformats.org/officeDocument/2006/relationships/hyperlink" Target="https://csfloat.com/item/942380197964025124" TargetMode="External"/><Relationship Id="rId33" Type="http://schemas.openxmlformats.org/officeDocument/2006/relationships/hyperlink" Target="https://csfloat.com/item/959642734723993157" TargetMode="External"/><Relationship Id="rId38" Type="http://schemas.openxmlformats.org/officeDocument/2006/relationships/hyperlink" Target="https://csfloat.com/item/960036106232008005" TargetMode="External"/><Relationship Id="rId46" Type="http://schemas.openxmlformats.org/officeDocument/2006/relationships/hyperlink" Target="https://csfloat.com/item/948911799212838069" TargetMode="External"/><Relationship Id="rId59" Type="http://schemas.openxmlformats.org/officeDocument/2006/relationships/hyperlink" Target="https://csfloat.com/item/962410023550583376" TargetMode="External"/><Relationship Id="rId67" Type="http://schemas.openxmlformats.org/officeDocument/2006/relationships/hyperlink" Target="https://csfloat.com/item/963060015869067519" TargetMode="External"/><Relationship Id="rId20" Type="http://schemas.openxmlformats.org/officeDocument/2006/relationships/hyperlink" Target="https://csfloat.com/item/958891316132053496" TargetMode="External"/><Relationship Id="rId41" Type="http://schemas.openxmlformats.org/officeDocument/2006/relationships/hyperlink" Target="https://csfloat.com/item/960461212737473793" TargetMode="External"/><Relationship Id="rId54" Type="http://schemas.openxmlformats.org/officeDocument/2006/relationships/hyperlink" Target="https://csfloat.com/item/961580822488548075" TargetMode="External"/><Relationship Id="rId62" Type="http://schemas.openxmlformats.org/officeDocument/2006/relationships/hyperlink" Target="https://csfloat.com/item/962663033027560205" TargetMode="External"/><Relationship Id="rId70" Type="http://schemas.openxmlformats.org/officeDocument/2006/relationships/hyperlink" Target="https://csfloat.com/item/963404806863588114" TargetMode="External"/><Relationship Id="rId75" Type="http://schemas.openxmlformats.org/officeDocument/2006/relationships/hyperlink" Target="https://csfloat.com/item/944922592052117660%20|%20https:/csfloat.com/item/954547166276356125%20|" TargetMode="External"/><Relationship Id="rId83" Type="http://schemas.openxmlformats.org/officeDocument/2006/relationships/hyperlink" Target="https://csfloat.com/item/965353105216638610" TargetMode="External"/><Relationship Id="rId88" Type="http://schemas.openxmlformats.org/officeDocument/2006/relationships/hyperlink" Target="https://csfloat.com/item/965991154627774869" TargetMode="External"/><Relationship Id="rId91" Type="http://schemas.openxmlformats.org/officeDocument/2006/relationships/hyperlink" Target="https://csfloat.com/item/966201021326033722" TargetMode="External"/><Relationship Id="rId1" Type="http://schemas.openxmlformats.org/officeDocument/2006/relationships/hyperlink" Target="https://csfloat.com/item/955802046601235268" TargetMode="External"/><Relationship Id="rId6" Type="http://schemas.openxmlformats.org/officeDocument/2006/relationships/hyperlink" Target="https://csfloat.com/item/956945003496737019" TargetMode="External"/><Relationship Id="rId15" Type="http://schemas.openxmlformats.org/officeDocument/2006/relationships/hyperlink" Target="https://csfloat.com/item/957988871260474075" TargetMode="External"/><Relationship Id="rId23" Type="http://schemas.openxmlformats.org/officeDocument/2006/relationships/hyperlink" Target="https://csfloat.com/item/946106389204438729" TargetMode="External"/><Relationship Id="rId28" Type="http://schemas.openxmlformats.org/officeDocument/2006/relationships/hyperlink" Target="https://csfloat.com/item/959213132943852856" TargetMode="External"/><Relationship Id="rId36" Type="http://schemas.openxmlformats.org/officeDocument/2006/relationships/hyperlink" Target="https://csfloat.com/item/959965942731902672" TargetMode="External"/><Relationship Id="rId49" Type="http://schemas.openxmlformats.org/officeDocument/2006/relationships/hyperlink" Target="https://csfloat.com/item/942959435742054935" TargetMode="External"/><Relationship Id="rId57" Type="http://schemas.openxmlformats.org/officeDocument/2006/relationships/hyperlink" Target="https://csfloat.com/item/961958831401862559" TargetMode="External"/><Relationship Id="rId10" Type="http://schemas.openxmlformats.org/officeDocument/2006/relationships/hyperlink" Target="https://csfloat.com/item/957395899129136348" TargetMode="External"/><Relationship Id="rId31" Type="http://schemas.openxmlformats.org/officeDocument/2006/relationships/hyperlink" Target="https://csfloat.com/item/959265050001018671" TargetMode="External"/><Relationship Id="rId44" Type="http://schemas.openxmlformats.org/officeDocument/2006/relationships/hyperlink" Target="https://csfloat.com/item/960731975050725575" TargetMode="External"/><Relationship Id="rId52" Type="http://schemas.openxmlformats.org/officeDocument/2006/relationships/hyperlink" Target="https://csfloat.com/item/961365813804270647" TargetMode="External"/><Relationship Id="rId60" Type="http://schemas.openxmlformats.org/officeDocument/2006/relationships/hyperlink" Target="https://csfloat.com/item/962438688053267379" TargetMode="External"/><Relationship Id="rId65" Type="http://schemas.openxmlformats.org/officeDocument/2006/relationships/hyperlink" Target="https://csfloat.com/item/961574156326014238" TargetMode="External"/><Relationship Id="rId73" Type="http://schemas.openxmlformats.org/officeDocument/2006/relationships/hyperlink" Target="https://csfloat.com/item/964099031791961772" TargetMode="External"/><Relationship Id="rId78" Type="http://schemas.openxmlformats.org/officeDocument/2006/relationships/hyperlink" Target="https://csfloat.com/item/965007350320728889" TargetMode="External"/><Relationship Id="rId81" Type="http://schemas.openxmlformats.org/officeDocument/2006/relationships/hyperlink" Target="https://csfloat.com/item/965237120019073325" TargetMode="External"/><Relationship Id="rId86" Type="http://schemas.openxmlformats.org/officeDocument/2006/relationships/hyperlink" Target="https://csfloat.com/item/965685508523034467" TargetMode="External"/><Relationship Id="rId94" Type="http://schemas.openxmlformats.org/officeDocument/2006/relationships/comments" Target="../comments1.xml"/><Relationship Id="rId4" Type="http://schemas.openxmlformats.org/officeDocument/2006/relationships/hyperlink" Target="https://csfloat.com/item/956593208299751627" TargetMode="External"/><Relationship Id="rId9" Type="http://schemas.openxmlformats.org/officeDocument/2006/relationships/hyperlink" Target="https://csfloat.com/item/957362320961571582" TargetMode="External"/><Relationship Id="rId13" Type="http://schemas.openxmlformats.org/officeDocument/2006/relationships/hyperlink" Target="https://csfloat.com/item/957655959067561518" TargetMode="External"/><Relationship Id="rId18" Type="http://schemas.openxmlformats.org/officeDocument/2006/relationships/hyperlink" Target="https://csfloat.com/item/958513248251021384" TargetMode="External"/><Relationship Id="rId39" Type="http://schemas.openxmlformats.org/officeDocument/2006/relationships/hyperlink" Target="https://csfloat.com/item/959970442528031853,%20https:/csfloat.com/item/946110998966832483" TargetMode="External"/><Relationship Id="rId34" Type="http://schemas.openxmlformats.org/officeDocument/2006/relationships/hyperlink" Target="https://csfloat.com/item/959643770805158677" TargetMode="External"/><Relationship Id="rId50" Type="http://schemas.openxmlformats.org/officeDocument/2006/relationships/hyperlink" Target="https://csfloat.com/item/954546326824157435" TargetMode="External"/><Relationship Id="rId55" Type="http://schemas.openxmlformats.org/officeDocument/2006/relationships/hyperlink" Target="https://csfloat.com/item/961652134871437063" TargetMode="External"/><Relationship Id="rId76" Type="http://schemas.openxmlformats.org/officeDocument/2006/relationships/hyperlink" Target="https://csfloat.com/item/961001226261105988" TargetMode="External"/><Relationship Id="rId7" Type="http://schemas.openxmlformats.org/officeDocument/2006/relationships/hyperlink" Target="https://csfloat.com/item/957031296893324684" TargetMode="External"/><Relationship Id="rId71" Type="http://schemas.openxmlformats.org/officeDocument/2006/relationships/hyperlink" Target="https://csfloat.com/item/963720367988409030" TargetMode="External"/><Relationship Id="rId92" Type="http://schemas.openxmlformats.org/officeDocument/2006/relationships/hyperlink" Target="https://csfloat.com/item/966307563404659890" TargetMode="External"/><Relationship Id="rId2" Type="http://schemas.openxmlformats.org/officeDocument/2006/relationships/hyperlink" Target="https://csfloat.com/item/954546325343568104" TargetMode="External"/><Relationship Id="rId29" Type="http://schemas.openxmlformats.org/officeDocument/2006/relationships/hyperlink" Target="https://csfloat.com/item/959213322442509648" TargetMode="External"/><Relationship Id="rId24" Type="http://schemas.openxmlformats.org/officeDocument/2006/relationships/hyperlink" Target="https://csfloat.com/item/959151321733268212" TargetMode="External"/><Relationship Id="rId40" Type="http://schemas.openxmlformats.org/officeDocument/2006/relationships/hyperlink" Target="https://csfloat.com/item/960375281502261138" TargetMode="External"/><Relationship Id="rId45" Type="http://schemas.openxmlformats.org/officeDocument/2006/relationships/hyperlink" Target="https://csfloat.com/item/946106389858750158,%20https:/csfloat.com/item/947801618236181684" TargetMode="External"/><Relationship Id="rId66" Type="http://schemas.openxmlformats.org/officeDocument/2006/relationships/hyperlink" Target="https://csfloat.com/item/962712874139124199" TargetMode="External"/><Relationship Id="rId87" Type="http://schemas.openxmlformats.org/officeDocument/2006/relationships/hyperlink" Target="https://csfloat.com/item/965685709639910362" TargetMode="External"/><Relationship Id="rId61" Type="http://schemas.openxmlformats.org/officeDocument/2006/relationships/hyperlink" Target="https://csfloat.com/item/962300317385492169" TargetMode="External"/><Relationship Id="rId82" Type="http://schemas.openxmlformats.org/officeDocument/2006/relationships/hyperlink" Target="https://csfloat.com/item/965308030273061280" TargetMode="External"/><Relationship Id="rId19" Type="http://schemas.openxmlformats.org/officeDocument/2006/relationships/hyperlink" Target="https://csfloat.com/item/958790151134383599" TargetMode="External"/><Relationship Id="rId14" Type="http://schemas.openxmlformats.org/officeDocument/2006/relationships/hyperlink" Target="https://csfloat.com/item/957821121997177518" TargetMode="External"/><Relationship Id="rId30" Type="http://schemas.openxmlformats.org/officeDocument/2006/relationships/hyperlink" Target="https://csfloat.com/item/959213710012976039" TargetMode="External"/><Relationship Id="rId35" Type="http://schemas.openxmlformats.org/officeDocument/2006/relationships/hyperlink" Target="https://csfloat.com/item/959874117442602443" TargetMode="External"/><Relationship Id="rId56" Type="http://schemas.openxmlformats.org/officeDocument/2006/relationships/hyperlink" Target="https://csfloat.com/item/961626373775033887" TargetMode="External"/><Relationship Id="rId77" Type="http://schemas.openxmlformats.org/officeDocument/2006/relationships/hyperlink" Target="https://csfloat.com/item/96491440725360781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94560"/>
  </sheetPr>
  <dimension ref="A1:AJ1163"/>
  <sheetViews>
    <sheetView tabSelected="1" zoomScaleNormal="100" workbookViewId="0">
      <pane ySplit="2" topLeftCell="A215" activePane="bottomLeft" state="frozen"/>
      <selection pane="bottomLeft" activeCell="B227" sqref="B227"/>
    </sheetView>
  </sheetViews>
  <sheetFormatPr defaultColWidth="8.7109375" defaultRowHeight="14.45"/>
  <cols>
    <col min="1" max="1" width="38" customWidth="1"/>
    <col min="2" max="2" width="14" customWidth="1"/>
    <col min="3" max="5" width="16" customWidth="1"/>
    <col min="6" max="6" width="14" customWidth="1"/>
    <col min="7" max="7" width="10" customWidth="1"/>
    <col min="8" max="8" width="55" customWidth="1"/>
  </cols>
  <sheetData>
    <row r="1" spans="1:8" ht="27.75" customHeight="1">
      <c r="A1" s="1" t="s">
        <v>0</v>
      </c>
      <c r="B1" s="2">
        <v>0.02</v>
      </c>
      <c r="C1" s="3" t="s">
        <v>1</v>
      </c>
      <c r="D1" s="4"/>
      <c r="E1" s="4"/>
      <c r="F1" s="4"/>
      <c r="G1" s="4"/>
      <c r="H1" s="4"/>
    </row>
    <row r="2" spans="1:8" ht="30" customHeight="1">
      <c r="A2" s="5" t="s">
        <v>2</v>
      </c>
      <c r="B2" s="5" t="s">
        <v>3</v>
      </c>
      <c r="C2" s="5" t="s">
        <v>4</v>
      </c>
      <c r="D2" s="5" t="s">
        <v>5</v>
      </c>
      <c r="E2" s="5" t="s">
        <v>6</v>
      </c>
      <c r="F2" s="5" t="s">
        <v>7</v>
      </c>
      <c r="G2" s="5" t="s">
        <v>8</v>
      </c>
      <c r="H2" s="5" t="s">
        <v>9</v>
      </c>
    </row>
    <row r="3" spans="1:8" ht="19.5" customHeight="1">
      <c r="A3" s="6" t="s">
        <v>10</v>
      </c>
      <c r="B3" s="24">
        <v>0.26</v>
      </c>
      <c r="C3" s="7">
        <v>2.29</v>
      </c>
      <c r="D3" s="7">
        <f t="shared" ref="D3:D34" si="0">C3*$B$1</f>
        <v>4.58E-2</v>
      </c>
      <c r="E3" s="8">
        <f t="shared" ref="E3:E34" si="1">C3-D3</f>
        <v>2.2442000000000002</v>
      </c>
      <c r="F3" s="18">
        <f t="shared" ref="F3:F34" si="2">E3-B3</f>
        <v>1.9842000000000002</v>
      </c>
      <c r="G3" s="21">
        <f t="shared" ref="G3:G34" si="3">IF(B3=0,"",F3/B3)</f>
        <v>7.6315384615384616</v>
      </c>
      <c r="H3" s="9" t="s">
        <v>11</v>
      </c>
    </row>
    <row r="4" spans="1:8" ht="19.5" customHeight="1">
      <c r="A4" s="10" t="s">
        <v>12</v>
      </c>
      <c r="B4" s="25">
        <v>0.22</v>
      </c>
      <c r="C4" s="11">
        <v>0.8</v>
      </c>
      <c r="D4" s="11">
        <f t="shared" si="0"/>
        <v>1.6E-2</v>
      </c>
      <c r="E4" s="12">
        <f t="shared" si="1"/>
        <v>0.78400000000000003</v>
      </c>
      <c r="F4" s="19">
        <f t="shared" si="2"/>
        <v>0.56400000000000006</v>
      </c>
      <c r="G4" s="22">
        <f t="shared" si="3"/>
        <v>2.5636363636363639</v>
      </c>
      <c r="H4" s="13" t="s">
        <v>13</v>
      </c>
    </row>
    <row r="5" spans="1:8" ht="19.5" customHeight="1">
      <c r="A5" s="6" t="s">
        <v>14</v>
      </c>
      <c r="B5" s="24">
        <v>0.17</v>
      </c>
      <c r="C5" s="7">
        <v>0.64</v>
      </c>
      <c r="D5" s="7">
        <f t="shared" si="0"/>
        <v>1.2800000000000001E-2</v>
      </c>
      <c r="E5" s="8">
        <f t="shared" si="1"/>
        <v>0.62719999999999998</v>
      </c>
      <c r="F5" s="18">
        <f t="shared" si="2"/>
        <v>0.45719999999999994</v>
      </c>
      <c r="G5" s="21">
        <f t="shared" si="3"/>
        <v>2.6894117647058819</v>
      </c>
      <c r="H5" s="9" t="s">
        <v>15</v>
      </c>
    </row>
    <row r="6" spans="1:8" ht="19.5" customHeight="1">
      <c r="A6" s="10" t="s">
        <v>16</v>
      </c>
      <c r="B6" s="25">
        <v>5</v>
      </c>
      <c r="C6" s="11">
        <v>8.08</v>
      </c>
      <c r="D6" s="11">
        <f t="shared" si="0"/>
        <v>0.16159999999999999</v>
      </c>
      <c r="E6" s="12">
        <f t="shared" si="1"/>
        <v>7.9184000000000001</v>
      </c>
      <c r="F6" s="19">
        <f t="shared" si="2"/>
        <v>2.9184000000000001</v>
      </c>
      <c r="G6" s="22">
        <f t="shared" si="3"/>
        <v>0.58367999999999998</v>
      </c>
      <c r="H6" s="13" t="s">
        <v>17</v>
      </c>
    </row>
    <row r="7" spans="1:8" ht="19.5" customHeight="1">
      <c r="A7" s="6" t="s">
        <v>18</v>
      </c>
      <c r="B7" s="24">
        <v>0.69</v>
      </c>
      <c r="C7" s="7">
        <v>1.33</v>
      </c>
      <c r="D7" s="7">
        <f t="shared" si="0"/>
        <v>2.6600000000000002E-2</v>
      </c>
      <c r="E7" s="8">
        <f t="shared" si="1"/>
        <v>1.3034000000000001</v>
      </c>
      <c r="F7" s="18">
        <f t="shared" si="2"/>
        <v>0.61340000000000017</v>
      </c>
      <c r="G7" s="21">
        <f t="shared" si="3"/>
        <v>0.88898550724637715</v>
      </c>
      <c r="H7" s="9" t="s">
        <v>19</v>
      </c>
    </row>
    <row r="8" spans="1:8" ht="19.5" customHeight="1">
      <c r="A8" s="10" t="s">
        <v>20</v>
      </c>
      <c r="B8" s="25">
        <v>0.09</v>
      </c>
      <c r="C8" s="11">
        <v>0.55000000000000004</v>
      </c>
      <c r="D8" s="11">
        <f t="shared" si="0"/>
        <v>1.1000000000000001E-2</v>
      </c>
      <c r="E8" s="12">
        <f t="shared" si="1"/>
        <v>0.53900000000000003</v>
      </c>
      <c r="F8" s="19">
        <f t="shared" si="2"/>
        <v>0.44900000000000007</v>
      </c>
      <c r="G8" s="22">
        <f t="shared" si="3"/>
        <v>4.9888888888888898</v>
      </c>
      <c r="H8" s="13" t="s">
        <v>21</v>
      </c>
    </row>
    <row r="9" spans="1:8" ht="19.5" customHeight="1">
      <c r="A9" s="6" t="s">
        <v>22</v>
      </c>
      <c r="B9" s="24">
        <v>0.39</v>
      </c>
      <c r="C9" s="7">
        <v>0.51</v>
      </c>
      <c r="D9" s="7">
        <f t="shared" si="0"/>
        <v>1.0200000000000001E-2</v>
      </c>
      <c r="E9" s="8">
        <f t="shared" si="1"/>
        <v>0.49980000000000002</v>
      </c>
      <c r="F9" s="18">
        <f t="shared" si="2"/>
        <v>0.10980000000000001</v>
      </c>
      <c r="G9" s="21">
        <f t="shared" si="3"/>
        <v>0.28153846153846157</v>
      </c>
      <c r="H9" s="9" t="s">
        <v>23</v>
      </c>
    </row>
    <row r="10" spans="1:8" ht="19.5" customHeight="1">
      <c r="A10" s="10" t="s">
        <v>24</v>
      </c>
      <c r="B10" s="25">
        <v>7.35</v>
      </c>
      <c r="C10" s="11">
        <v>11.85</v>
      </c>
      <c r="D10" s="11">
        <f t="shared" si="0"/>
        <v>0.23699999999999999</v>
      </c>
      <c r="E10" s="12">
        <f t="shared" si="1"/>
        <v>11.613</v>
      </c>
      <c r="F10" s="19">
        <f t="shared" si="2"/>
        <v>4.2629999999999999</v>
      </c>
      <c r="G10" s="22">
        <f t="shared" si="3"/>
        <v>0.57999999999999996</v>
      </c>
      <c r="H10" s="13" t="s">
        <v>25</v>
      </c>
    </row>
    <row r="11" spans="1:8" ht="19.5" customHeight="1">
      <c r="A11" s="6" t="s">
        <v>26</v>
      </c>
      <c r="B11" s="24">
        <v>0.08</v>
      </c>
      <c r="C11" s="7">
        <v>1.7</v>
      </c>
      <c r="D11" s="7">
        <f t="shared" si="0"/>
        <v>3.4000000000000002E-2</v>
      </c>
      <c r="E11" s="8">
        <f t="shared" si="1"/>
        <v>1.6659999999999999</v>
      </c>
      <c r="F11" s="18">
        <f t="shared" si="2"/>
        <v>1.5859999999999999</v>
      </c>
      <c r="G11" s="21">
        <f t="shared" si="3"/>
        <v>19.824999999999999</v>
      </c>
      <c r="H11" s="9" t="s">
        <v>27</v>
      </c>
    </row>
    <row r="12" spans="1:8" ht="19.5" customHeight="1">
      <c r="A12" s="10" t="s">
        <v>28</v>
      </c>
      <c r="B12" s="25">
        <v>0.22</v>
      </c>
      <c r="C12" s="11">
        <v>0.6</v>
      </c>
      <c r="D12" s="11">
        <f t="shared" si="0"/>
        <v>1.2E-2</v>
      </c>
      <c r="E12" s="12">
        <f t="shared" si="1"/>
        <v>0.58799999999999997</v>
      </c>
      <c r="F12" s="19">
        <f t="shared" si="2"/>
        <v>0.36799999999999999</v>
      </c>
      <c r="G12" s="22">
        <f t="shared" si="3"/>
        <v>1.6727272727272726</v>
      </c>
      <c r="H12" s="13" t="s">
        <v>29</v>
      </c>
    </row>
    <row r="13" spans="1:8" ht="19.5" customHeight="1">
      <c r="A13" s="6" t="s">
        <v>18</v>
      </c>
      <c r="B13" s="24">
        <v>1</v>
      </c>
      <c r="C13" s="7">
        <v>4.6900000000000004</v>
      </c>
      <c r="D13" s="7">
        <f t="shared" si="0"/>
        <v>9.3800000000000008E-2</v>
      </c>
      <c r="E13" s="8">
        <f t="shared" si="1"/>
        <v>4.5962000000000005</v>
      </c>
      <c r="F13" s="18">
        <f t="shared" si="2"/>
        <v>3.5962000000000005</v>
      </c>
      <c r="G13" s="21">
        <f t="shared" si="3"/>
        <v>3.5962000000000005</v>
      </c>
      <c r="H13" s="9" t="s">
        <v>29</v>
      </c>
    </row>
    <row r="14" spans="1:8" ht="19.5" customHeight="1">
      <c r="A14" s="10" t="s">
        <v>30</v>
      </c>
      <c r="B14" s="25">
        <v>0.23</v>
      </c>
      <c r="C14" s="11">
        <v>0.3</v>
      </c>
      <c r="D14" s="11">
        <f t="shared" si="0"/>
        <v>6.0000000000000001E-3</v>
      </c>
      <c r="E14" s="12">
        <f t="shared" si="1"/>
        <v>0.29399999999999998</v>
      </c>
      <c r="F14" s="19">
        <f t="shared" si="2"/>
        <v>6.3999999999999974E-2</v>
      </c>
      <c r="G14" s="22">
        <f t="shared" si="3"/>
        <v>0.27826086956521728</v>
      </c>
      <c r="H14" s="13" t="s">
        <v>31</v>
      </c>
    </row>
    <row r="15" spans="1:8" ht="19.5" customHeight="1">
      <c r="A15" s="6" t="s">
        <v>32</v>
      </c>
      <c r="B15" s="24">
        <v>0.22</v>
      </c>
      <c r="C15" s="7">
        <v>1.5</v>
      </c>
      <c r="D15" s="7">
        <f t="shared" si="0"/>
        <v>0.03</v>
      </c>
      <c r="E15" s="8">
        <f t="shared" si="1"/>
        <v>1.47</v>
      </c>
      <c r="F15" s="18">
        <f t="shared" si="2"/>
        <v>1.25</v>
      </c>
      <c r="G15" s="21">
        <f t="shared" si="3"/>
        <v>5.6818181818181817</v>
      </c>
      <c r="H15" s="9" t="s">
        <v>33</v>
      </c>
    </row>
    <row r="16" spans="1:8" ht="19.5" customHeight="1">
      <c r="A16" s="10" t="s">
        <v>34</v>
      </c>
      <c r="B16" s="25">
        <v>1.6</v>
      </c>
      <c r="C16" s="11">
        <v>5</v>
      </c>
      <c r="D16" s="11">
        <f t="shared" si="0"/>
        <v>0.1</v>
      </c>
      <c r="E16" s="12">
        <f t="shared" si="1"/>
        <v>4.9000000000000004</v>
      </c>
      <c r="F16" s="19">
        <f t="shared" si="2"/>
        <v>3.3000000000000003</v>
      </c>
      <c r="G16" s="22">
        <f t="shared" si="3"/>
        <v>2.0625</v>
      </c>
      <c r="H16" s="13" t="s">
        <v>35</v>
      </c>
    </row>
    <row r="17" spans="1:8" ht="19.5" customHeight="1">
      <c r="A17" s="6" t="s">
        <v>36</v>
      </c>
      <c r="B17" s="24">
        <v>5.51</v>
      </c>
      <c r="C17" s="7">
        <v>33</v>
      </c>
      <c r="D17" s="7">
        <f t="shared" si="0"/>
        <v>0.66</v>
      </c>
      <c r="E17" s="8">
        <f t="shared" si="1"/>
        <v>32.340000000000003</v>
      </c>
      <c r="F17" s="18">
        <f t="shared" si="2"/>
        <v>26.830000000000005</v>
      </c>
      <c r="G17" s="21">
        <f t="shared" si="3"/>
        <v>4.869328493647914</v>
      </c>
      <c r="H17" s="9" t="s">
        <v>37</v>
      </c>
    </row>
    <row r="18" spans="1:8" ht="19.5" customHeight="1">
      <c r="A18" s="10" t="s">
        <v>24</v>
      </c>
      <c r="B18" s="25">
        <v>2.5099999999999998</v>
      </c>
      <c r="C18" s="11">
        <v>3.72</v>
      </c>
      <c r="D18" s="11">
        <f t="shared" si="0"/>
        <v>7.4400000000000008E-2</v>
      </c>
      <c r="E18" s="12">
        <f t="shared" si="1"/>
        <v>3.6456000000000004</v>
      </c>
      <c r="F18" s="19">
        <f t="shared" si="2"/>
        <v>1.1356000000000006</v>
      </c>
      <c r="G18" s="22">
        <f t="shared" si="3"/>
        <v>0.45243027888446241</v>
      </c>
      <c r="H18" s="13" t="s">
        <v>38</v>
      </c>
    </row>
    <row r="19" spans="1:8" ht="19.5" customHeight="1">
      <c r="A19" s="6" t="s">
        <v>39</v>
      </c>
      <c r="B19" s="24">
        <v>1.54</v>
      </c>
      <c r="C19" s="7">
        <v>14.75</v>
      </c>
      <c r="D19" s="7">
        <f t="shared" si="0"/>
        <v>0.29499999999999998</v>
      </c>
      <c r="E19" s="8">
        <f t="shared" si="1"/>
        <v>14.455</v>
      </c>
      <c r="F19" s="18">
        <f t="shared" si="2"/>
        <v>12.914999999999999</v>
      </c>
      <c r="G19" s="21">
        <f t="shared" si="3"/>
        <v>8.3863636363636349</v>
      </c>
      <c r="H19" s="9" t="s">
        <v>40</v>
      </c>
    </row>
    <row r="20" spans="1:8" ht="19.5" customHeight="1">
      <c r="A20" s="10" t="s">
        <v>14</v>
      </c>
      <c r="B20" s="25">
        <v>0.32</v>
      </c>
      <c r="C20" s="11">
        <v>0.75</v>
      </c>
      <c r="D20" s="11">
        <f t="shared" si="0"/>
        <v>1.4999999999999999E-2</v>
      </c>
      <c r="E20" s="12">
        <f t="shared" si="1"/>
        <v>0.73499999999999999</v>
      </c>
      <c r="F20" s="19">
        <f t="shared" si="2"/>
        <v>0.41499999999999998</v>
      </c>
      <c r="G20" s="22">
        <f t="shared" si="3"/>
        <v>1.296875</v>
      </c>
      <c r="H20" s="13" t="s">
        <v>41</v>
      </c>
    </row>
    <row r="21" spans="1:8" ht="19.5" customHeight="1">
      <c r="A21" s="6" t="s">
        <v>42</v>
      </c>
      <c r="B21" s="24">
        <v>0.39</v>
      </c>
      <c r="C21" s="7">
        <v>18</v>
      </c>
      <c r="D21" s="7">
        <f t="shared" si="0"/>
        <v>0.36</v>
      </c>
      <c r="E21" s="8">
        <f t="shared" si="1"/>
        <v>17.64</v>
      </c>
      <c r="F21" s="18">
        <f t="shared" si="2"/>
        <v>17.25</v>
      </c>
      <c r="G21" s="21">
        <f t="shared" si="3"/>
        <v>44.230769230769226</v>
      </c>
      <c r="H21" s="9" t="s">
        <v>43</v>
      </c>
    </row>
    <row r="22" spans="1:8" ht="19.5" customHeight="1">
      <c r="A22" s="10" t="s">
        <v>44</v>
      </c>
      <c r="B22" s="25">
        <v>0.7</v>
      </c>
      <c r="C22" s="11">
        <v>11.95</v>
      </c>
      <c r="D22" s="11">
        <f t="shared" si="0"/>
        <v>0.23899999999999999</v>
      </c>
      <c r="E22" s="12">
        <f t="shared" si="1"/>
        <v>11.710999999999999</v>
      </c>
      <c r="F22" s="19">
        <f t="shared" si="2"/>
        <v>11.010999999999999</v>
      </c>
      <c r="G22" s="22">
        <f t="shared" si="3"/>
        <v>15.73</v>
      </c>
      <c r="H22" s="13" t="s">
        <v>45</v>
      </c>
    </row>
    <row r="23" spans="1:8" ht="19.5" customHeight="1">
      <c r="A23" s="6" t="s">
        <v>46</v>
      </c>
      <c r="B23" s="24">
        <v>0.22</v>
      </c>
      <c r="C23" s="7">
        <v>14</v>
      </c>
      <c r="D23" s="7">
        <f t="shared" si="0"/>
        <v>0.28000000000000003</v>
      </c>
      <c r="E23" s="8">
        <f t="shared" si="1"/>
        <v>13.72</v>
      </c>
      <c r="F23" s="18">
        <f t="shared" si="2"/>
        <v>13.5</v>
      </c>
      <c r="G23" s="21">
        <f t="shared" si="3"/>
        <v>61.363636363636367</v>
      </c>
      <c r="H23" s="9" t="s">
        <v>47</v>
      </c>
    </row>
    <row r="24" spans="1:8" ht="19.5" customHeight="1">
      <c r="A24" s="10" t="s">
        <v>48</v>
      </c>
      <c r="B24" s="25">
        <v>1.44</v>
      </c>
      <c r="C24" s="11">
        <v>4.7</v>
      </c>
      <c r="D24" s="11">
        <f t="shared" si="0"/>
        <v>9.4E-2</v>
      </c>
      <c r="E24" s="12">
        <f t="shared" si="1"/>
        <v>4.6059999999999999</v>
      </c>
      <c r="F24" s="19">
        <f t="shared" si="2"/>
        <v>3.1659999999999999</v>
      </c>
      <c r="G24" s="22">
        <f t="shared" si="3"/>
        <v>2.1986111111111111</v>
      </c>
      <c r="H24" s="13" t="s">
        <v>49</v>
      </c>
    </row>
    <row r="25" spans="1:8" ht="19.5" customHeight="1">
      <c r="A25" s="6" t="s">
        <v>50</v>
      </c>
      <c r="B25" s="24">
        <v>8.01</v>
      </c>
      <c r="C25" s="7">
        <v>16.7</v>
      </c>
      <c r="D25" s="7">
        <f t="shared" si="0"/>
        <v>0.33400000000000002</v>
      </c>
      <c r="E25" s="8">
        <f t="shared" si="1"/>
        <v>16.366</v>
      </c>
      <c r="F25" s="18">
        <f t="shared" si="2"/>
        <v>8.3559999999999999</v>
      </c>
      <c r="G25" s="21">
        <f t="shared" si="3"/>
        <v>1.0431960049937579</v>
      </c>
      <c r="H25" s="9" t="s">
        <v>51</v>
      </c>
    </row>
    <row r="26" spans="1:8" ht="19.5" customHeight="1">
      <c r="A26" s="10" t="s">
        <v>52</v>
      </c>
      <c r="B26" s="25">
        <v>0.03</v>
      </c>
      <c r="C26" s="11">
        <v>2.95</v>
      </c>
      <c r="D26" s="11">
        <f t="shared" si="0"/>
        <v>5.9000000000000004E-2</v>
      </c>
      <c r="E26" s="12">
        <f t="shared" si="1"/>
        <v>2.891</v>
      </c>
      <c r="F26" s="19">
        <f t="shared" si="2"/>
        <v>2.8610000000000002</v>
      </c>
      <c r="G26" s="22">
        <f t="shared" si="3"/>
        <v>95.366666666666674</v>
      </c>
      <c r="H26" s="13" t="s">
        <v>53</v>
      </c>
    </row>
    <row r="27" spans="1:8" ht="19.5" customHeight="1">
      <c r="A27" s="6" t="s">
        <v>32</v>
      </c>
      <c r="B27" s="24">
        <v>0.34</v>
      </c>
      <c r="C27" s="7">
        <v>2.56</v>
      </c>
      <c r="D27" s="7">
        <f t="shared" si="0"/>
        <v>5.1200000000000002E-2</v>
      </c>
      <c r="E27" s="8">
        <f t="shared" si="1"/>
        <v>2.5087999999999999</v>
      </c>
      <c r="F27" s="18">
        <f t="shared" si="2"/>
        <v>2.1688000000000001</v>
      </c>
      <c r="G27" s="21">
        <f t="shared" si="3"/>
        <v>6.3788235294117648</v>
      </c>
      <c r="H27" s="9" t="s">
        <v>54</v>
      </c>
    </row>
    <row r="28" spans="1:8" ht="19.5" customHeight="1">
      <c r="A28" s="10" t="s">
        <v>55</v>
      </c>
      <c r="B28" s="25">
        <v>0.36</v>
      </c>
      <c r="C28" s="11">
        <v>0.9</v>
      </c>
      <c r="D28" s="11">
        <f t="shared" si="0"/>
        <v>1.8000000000000002E-2</v>
      </c>
      <c r="E28" s="12">
        <f t="shared" si="1"/>
        <v>0.88200000000000001</v>
      </c>
      <c r="F28" s="19">
        <f t="shared" si="2"/>
        <v>0.52200000000000002</v>
      </c>
      <c r="G28" s="22">
        <f t="shared" si="3"/>
        <v>1.4500000000000002</v>
      </c>
      <c r="H28" s="13" t="s">
        <v>56</v>
      </c>
    </row>
    <row r="29" spans="1:8" ht="19.5" customHeight="1">
      <c r="A29" s="6" t="s">
        <v>32</v>
      </c>
      <c r="B29" s="24">
        <v>0.5</v>
      </c>
      <c r="C29" s="7">
        <v>0.9</v>
      </c>
      <c r="D29" s="7">
        <f t="shared" si="0"/>
        <v>1.8000000000000002E-2</v>
      </c>
      <c r="E29" s="8">
        <f t="shared" si="1"/>
        <v>0.88200000000000001</v>
      </c>
      <c r="F29" s="18">
        <f t="shared" si="2"/>
        <v>0.38200000000000001</v>
      </c>
      <c r="G29" s="21">
        <f t="shared" si="3"/>
        <v>0.76400000000000001</v>
      </c>
      <c r="H29" s="9" t="s">
        <v>57</v>
      </c>
    </row>
    <row r="30" spans="1:8" ht="19.5" customHeight="1">
      <c r="A30" s="10" t="s">
        <v>58</v>
      </c>
      <c r="B30" s="25">
        <v>0.27</v>
      </c>
      <c r="C30" s="11">
        <v>0.9</v>
      </c>
      <c r="D30" s="11">
        <f t="shared" si="0"/>
        <v>1.8000000000000002E-2</v>
      </c>
      <c r="E30" s="12">
        <f t="shared" si="1"/>
        <v>0.88200000000000001</v>
      </c>
      <c r="F30" s="19">
        <f t="shared" si="2"/>
        <v>0.61199999999999999</v>
      </c>
      <c r="G30" s="22">
        <f t="shared" si="3"/>
        <v>2.2666666666666666</v>
      </c>
      <c r="H30" s="13" t="s">
        <v>59</v>
      </c>
    </row>
    <row r="31" spans="1:8" ht="19.5" customHeight="1">
      <c r="A31" s="6" t="s">
        <v>60</v>
      </c>
      <c r="B31" s="24">
        <v>2</v>
      </c>
      <c r="C31" s="7">
        <v>18</v>
      </c>
      <c r="D31" s="7">
        <f t="shared" si="0"/>
        <v>0.36</v>
      </c>
      <c r="E31" s="8">
        <f t="shared" si="1"/>
        <v>17.64</v>
      </c>
      <c r="F31" s="18">
        <f t="shared" si="2"/>
        <v>15.64</v>
      </c>
      <c r="G31" s="21">
        <f t="shared" si="3"/>
        <v>7.82</v>
      </c>
      <c r="H31" s="9" t="s">
        <v>61</v>
      </c>
    </row>
    <row r="32" spans="1:8" ht="19.5" customHeight="1">
      <c r="A32" s="10" t="s">
        <v>62</v>
      </c>
      <c r="B32" s="25">
        <v>0.63</v>
      </c>
      <c r="C32" s="11">
        <v>1.9</v>
      </c>
      <c r="D32" s="11">
        <f t="shared" si="0"/>
        <v>3.7999999999999999E-2</v>
      </c>
      <c r="E32" s="12">
        <f t="shared" si="1"/>
        <v>1.8619999999999999</v>
      </c>
      <c r="F32" s="19">
        <f t="shared" si="2"/>
        <v>1.2319999999999998</v>
      </c>
      <c r="G32" s="22">
        <f t="shared" si="3"/>
        <v>1.9555555555555553</v>
      </c>
      <c r="H32" s="13" t="s">
        <v>63</v>
      </c>
    </row>
    <row r="33" spans="1:8" ht="19.5" customHeight="1">
      <c r="A33" s="6" t="s">
        <v>64</v>
      </c>
      <c r="B33" s="24">
        <v>0.18</v>
      </c>
      <c r="C33" s="7">
        <v>0.8</v>
      </c>
      <c r="D33" s="7">
        <f t="shared" si="0"/>
        <v>1.6E-2</v>
      </c>
      <c r="E33" s="8">
        <f t="shared" si="1"/>
        <v>0.78400000000000003</v>
      </c>
      <c r="F33" s="18">
        <f t="shared" si="2"/>
        <v>0.60400000000000009</v>
      </c>
      <c r="G33" s="21">
        <f t="shared" si="3"/>
        <v>3.3555555555555561</v>
      </c>
      <c r="H33" s="9" t="s">
        <v>65</v>
      </c>
    </row>
    <row r="34" spans="1:8" ht="19.5" customHeight="1">
      <c r="A34" s="10" t="s">
        <v>66</v>
      </c>
      <c r="B34" s="25">
        <v>5</v>
      </c>
      <c r="C34" s="11">
        <v>7.25</v>
      </c>
      <c r="D34" s="11">
        <f t="shared" si="0"/>
        <v>0.14499999999999999</v>
      </c>
      <c r="E34" s="12">
        <f t="shared" si="1"/>
        <v>7.1050000000000004</v>
      </c>
      <c r="F34" s="19">
        <f t="shared" si="2"/>
        <v>2.1050000000000004</v>
      </c>
      <c r="G34" s="22">
        <f t="shared" si="3"/>
        <v>0.4210000000000001</v>
      </c>
      <c r="H34" s="13" t="s">
        <v>67</v>
      </c>
    </row>
    <row r="35" spans="1:8" ht="19.5" customHeight="1">
      <c r="A35" s="6" t="s">
        <v>68</v>
      </c>
      <c r="B35" s="24">
        <v>14.21</v>
      </c>
      <c r="C35" s="7">
        <v>14.3</v>
      </c>
      <c r="D35" s="7">
        <f t="shared" ref="D35:D66" si="4">C35*$B$1</f>
        <v>0.28600000000000003</v>
      </c>
      <c r="E35" s="8">
        <f t="shared" ref="E35:E66" si="5">C35-D35</f>
        <v>14.014000000000001</v>
      </c>
      <c r="F35" s="18">
        <f t="shared" ref="F35:F66" si="6">E35-B35</f>
        <v>-0.19599999999999973</v>
      </c>
      <c r="G35" s="21">
        <f t="shared" ref="G35:G66" si="7">IF(B35=0,"",F35/B35)</f>
        <v>-1.3793103448275843E-2</v>
      </c>
      <c r="H35" s="9" t="s">
        <v>69</v>
      </c>
    </row>
    <row r="36" spans="1:8" ht="19.5" customHeight="1">
      <c r="A36" s="10" t="s">
        <v>70</v>
      </c>
      <c r="B36" s="25">
        <v>6.13</v>
      </c>
      <c r="C36" s="11">
        <v>3</v>
      </c>
      <c r="D36" s="11">
        <f t="shared" si="4"/>
        <v>0.06</v>
      </c>
      <c r="E36" s="12">
        <f t="shared" si="5"/>
        <v>2.94</v>
      </c>
      <c r="F36" s="19">
        <f t="shared" si="6"/>
        <v>-3.19</v>
      </c>
      <c r="G36" s="22">
        <f t="shared" si="7"/>
        <v>-0.52039151712887444</v>
      </c>
      <c r="H36" s="13" t="s">
        <v>71</v>
      </c>
    </row>
    <row r="37" spans="1:8" ht="19.5" customHeight="1">
      <c r="A37" s="6" t="s">
        <v>72</v>
      </c>
      <c r="B37" s="24">
        <v>1.3</v>
      </c>
      <c r="C37" s="7">
        <v>18</v>
      </c>
      <c r="D37" s="7">
        <f t="shared" si="4"/>
        <v>0.36</v>
      </c>
      <c r="E37" s="8">
        <f t="shared" si="5"/>
        <v>17.64</v>
      </c>
      <c r="F37" s="18">
        <f t="shared" si="6"/>
        <v>16.34</v>
      </c>
      <c r="G37" s="21">
        <f t="shared" si="7"/>
        <v>12.569230769230769</v>
      </c>
      <c r="H37" s="9" t="s">
        <v>73</v>
      </c>
    </row>
    <row r="38" spans="1:8" ht="19.5" customHeight="1">
      <c r="A38" s="10" t="s">
        <v>74</v>
      </c>
      <c r="B38" s="25">
        <v>0.03</v>
      </c>
      <c r="C38" s="11">
        <v>0.4</v>
      </c>
      <c r="D38" s="11">
        <f t="shared" si="4"/>
        <v>8.0000000000000002E-3</v>
      </c>
      <c r="E38" s="12">
        <f t="shared" si="5"/>
        <v>0.39200000000000002</v>
      </c>
      <c r="F38" s="19">
        <f t="shared" si="6"/>
        <v>0.36199999999999999</v>
      </c>
      <c r="G38" s="22">
        <f t="shared" si="7"/>
        <v>12.066666666666666</v>
      </c>
      <c r="H38" s="13" t="s">
        <v>75</v>
      </c>
    </row>
    <row r="39" spans="1:8" ht="19.5" customHeight="1">
      <c r="A39" s="6" t="s">
        <v>16</v>
      </c>
      <c r="B39" s="24">
        <v>6.19</v>
      </c>
      <c r="C39" s="7">
        <v>6.35</v>
      </c>
      <c r="D39" s="7">
        <f t="shared" si="4"/>
        <v>0.127</v>
      </c>
      <c r="E39" s="8">
        <f t="shared" si="5"/>
        <v>6.2229999999999999</v>
      </c>
      <c r="F39" s="18">
        <f t="shared" si="6"/>
        <v>3.2999999999999474E-2</v>
      </c>
      <c r="G39" s="21">
        <f t="shared" si="7"/>
        <v>5.3311793214861833E-3</v>
      </c>
      <c r="H39" s="9" t="s">
        <v>76</v>
      </c>
    </row>
    <row r="40" spans="1:8" ht="19.5" customHeight="1">
      <c r="A40" s="10" t="s">
        <v>32</v>
      </c>
      <c r="B40" s="25">
        <v>3.52</v>
      </c>
      <c r="C40" s="11">
        <v>3.64</v>
      </c>
      <c r="D40" s="11">
        <f t="shared" si="4"/>
        <v>7.2800000000000004E-2</v>
      </c>
      <c r="E40" s="12">
        <f t="shared" si="5"/>
        <v>3.5672000000000001</v>
      </c>
      <c r="F40" s="19">
        <f t="shared" si="6"/>
        <v>4.7200000000000131E-2</v>
      </c>
      <c r="G40" s="22">
        <f t="shared" si="7"/>
        <v>1.3409090909090947E-2</v>
      </c>
      <c r="H40" s="13" t="s">
        <v>77</v>
      </c>
    </row>
    <row r="41" spans="1:8" ht="19.5" customHeight="1">
      <c r="A41" s="6" t="s">
        <v>10</v>
      </c>
      <c r="B41" s="24">
        <v>0.38</v>
      </c>
      <c r="C41" s="7">
        <v>5.2</v>
      </c>
      <c r="D41" s="7">
        <f t="shared" si="4"/>
        <v>0.10400000000000001</v>
      </c>
      <c r="E41" s="8">
        <f t="shared" si="5"/>
        <v>5.0960000000000001</v>
      </c>
      <c r="F41" s="18">
        <f t="shared" si="6"/>
        <v>4.7160000000000002</v>
      </c>
      <c r="G41" s="21">
        <f t="shared" si="7"/>
        <v>12.410526315789474</v>
      </c>
      <c r="H41" s="9" t="s">
        <v>78</v>
      </c>
    </row>
    <row r="42" spans="1:8" ht="19.5" customHeight="1">
      <c r="A42" s="10" t="s">
        <v>79</v>
      </c>
      <c r="B42" s="25">
        <v>33</v>
      </c>
      <c r="C42" s="11">
        <v>39.14</v>
      </c>
      <c r="D42" s="11">
        <f t="shared" si="4"/>
        <v>0.78280000000000005</v>
      </c>
      <c r="E42" s="12">
        <f t="shared" si="5"/>
        <v>38.357199999999999</v>
      </c>
      <c r="F42" s="19">
        <f t="shared" si="6"/>
        <v>5.3571999999999989</v>
      </c>
      <c r="G42" s="22">
        <f t="shared" si="7"/>
        <v>0.16233939393939389</v>
      </c>
      <c r="H42" s="13" t="s">
        <v>80</v>
      </c>
    </row>
    <row r="43" spans="1:8" ht="19.5" customHeight="1">
      <c r="A43" s="6" t="s">
        <v>32</v>
      </c>
      <c r="B43" s="24">
        <v>0.33</v>
      </c>
      <c r="C43" s="7">
        <v>0.9</v>
      </c>
      <c r="D43" s="7">
        <f t="shared" si="4"/>
        <v>1.8000000000000002E-2</v>
      </c>
      <c r="E43" s="8">
        <f t="shared" si="5"/>
        <v>0.88200000000000001</v>
      </c>
      <c r="F43" s="18">
        <f t="shared" si="6"/>
        <v>0.55200000000000005</v>
      </c>
      <c r="G43" s="21">
        <f t="shared" si="7"/>
        <v>1.6727272727272728</v>
      </c>
      <c r="H43" s="9" t="s">
        <v>81</v>
      </c>
    </row>
    <row r="44" spans="1:8" ht="19.5" customHeight="1">
      <c r="A44" s="10" t="s">
        <v>22</v>
      </c>
      <c r="B44" s="25">
        <v>0.03</v>
      </c>
      <c r="C44" s="11">
        <v>0.6</v>
      </c>
      <c r="D44" s="11">
        <f t="shared" si="4"/>
        <v>1.2E-2</v>
      </c>
      <c r="E44" s="12">
        <f t="shared" si="5"/>
        <v>0.58799999999999997</v>
      </c>
      <c r="F44" s="19">
        <f t="shared" si="6"/>
        <v>0.55799999999999994</v>
      </c>
      <c r="G44" s="22">
        <f t="shared" si="7"/>
        <v>18.599999999999998</v>
      </c>
      <c r="H44" s="13" t="s">
        <v>82</v>
      </c>
    </row>
    <row r="45" spans="1:8" ht="19.5" customHeight="1">
      <c r="A45" s="6" t="s">
        <v>83</v>
      </c>
      <c r="B45" s="24">
        <v>0.03</v>
      </c>
      <c r="C45" s="7">
        <v>0.15</v>
      </c>
      <c r="D45" s="7">
        <f t="shared" si="4"/>
        <v>3.0000000000000001E-3</v>
      </c>
      <c r="E45" s="8">
        <f t="shared" si="5"/>
        <v>0.14699999999999999</v>
      </c>
      <c r="F45" s="18">
        <f t="shared" si="6"/>
        <v>0.11699999999999999</v>
      </c>
      <c r="G45" s="21">
        <f t="shared" si="7"/>
        <v>3.9</v>
      </c>
      <c r="H45" s="9" t="s">
        <v>84</v>
      </c>
    </row>
    <row r="46" spans="1:8" ht="19.5" customHeight="1">
      <c r="A46" s="10" t="s">
        <v>32</v>
      </c>
      <c r="B46" s="25">
        <v>1</v>
      </c>
      <c r="C46" s="11">
        <v>4.3</v>
      </c>
      <c r="D46" s="11">
        <f t="shared" si="4"/>
        <v>8.5999999999999993E-2</v>
      </c>
      <c r="E46" s="12">
        <f t="shared" si="5"/>
        <v>4.2139999999999995</v>
      </c>
      <c r="F46" s="19">
        <f t="shared" si="6"/>
        <v>3.2139999999999995</v>
      </c>
      <c r="G46" s="22">
        <f t="shared" si="7"/>
        <v>3.2139999999999995</v>
      </c>
      <c r="H46" s="13" t="s">
        <v>85</v>
      </c>
    </row>
    <row r="47" spans="1:8" ht="19.5" customHeight="1">
      <c r="A47" s="6" t="s">
        <v>64</v>
      </c>
      <c r="B47" s="24">
        <v>0.35</v>
      </c>
      <c r="C47" s="7">
        <v>0.8</v>
      </c>
      <c r="D47" s="7">
        <f t="shared" si="4"/>
        <v>1.6E-2</v>
      </c>
      <c r="E47" s="8">
        <f t="shared" si="5"/>
        <v>0.78400000000000003</v>
      </c>
      <c r="F47" s="18">
        <f t="shared" si="6"/>
        <v>0.43400000000000005</v>
      </c>
      <c r="G47" s="21">
        <f t="shared" si="7"/>
        <v>1.2400000000000002</v>
      </c>
      <c r="H47" s="9" t="s">
        <v>86</v>
      </c>
    </row>
    <row r="48" spans="1:8" ht="19.5" customHeight="1">
      <c r="A48" s="10" t="s">
        <v>87</v>
      </c>
      <c r="B48" s="25">
        <v>0.03</v>
      </c>
      <c r="C48" s="11">
        <v>0.15</v>
      </c>
      <c r="D48" s="11">
        <f t="shared" si="4"/>
        <v>3.0000000000000001E-3</v>
      </c>
      <c r="E48" s="12">
        <f t="shared" si="5"/>
        <v>0.14699999999999999</v>
      </c>
      <c r="F48" s="19">
        <f t="shared" si="6"/>
        <v>0.11699999999999999</v>
      </c>
      <c r="G48" s="22">
        <f t="shared" si="7"/>
        <v>3.9</v>
      </c>
      <c r="H48" s="13" t="s">
        <v>88</v>
      </c>
    </row>
    <row r="49" spans="1:8" ht="19.5" customHeight="1">
      <c r="A49" s="6" t="s">
        <v>89</v>
      </c>
      <c r="B49" s="24">
        <v>5.08</v>
      </c>
      <c r="C49" s="7">
        <v>6.5</v>
      </c>
      <c r="D49" s="7">
        <f t="shared" si="4"/>
        <v>0.13</v>
      </c>
      <c r="E49" s="8">
        <f t="shared" si="5"/>
        <v>6.37</v>
      </c>
      <c r="F49" s="18">
        <f t="shared" si="6"/>
        <v>1.29</v>
      </c>
      <c r="G49" s="21">
        <f t="shared" si="7"/>
        <v>0.25393700787401574</v>
      </c>
      <c r="H49" s="9" t="s">
        <v>90</v>
      </c>
    </row>
    <row r="50" spans="1:8" ht="19.5" customHeight="1">
      <c r="A50" s="10" t="s">
        <v>89</v>
      </c>
      <c r="B50" s="25">
        <v>5.08</v>
      </c>
      <c r="C50" s="11">
        <v>6.5</v>
      </c>
      <c r="D50" s="11">
        <f t="shared" si="4"/>
        <v>0.13</v>
      </c>
      <c r="E50" s="12">
        <f t="shared" si="5"/>
        <v>6.37</v>
      </c>
      <c r="F50" s="19">
        <f t="shared" si="6"/>
        <v>1.29</v>
      </c>
      <c r="G50" s="22">
        <f t="shared" si="7"/>
        <v>0.25393700787401574</v>
      </c>
      <c r="H50" s="13" t="s">
        <v>91</v>
      </c>
    </row>
    <row r="51" spans="1:8" ht="19.5" customHeight="1">
      <c r="A51" s="6" t="s">
        <v>44</v>
      </c>
      <c r="B51" s="24">
        <v>0.47</v>
      </c>
      <c r="C51" s="7">
        <v>2.48</v>
      </c>
      <c r="D51" s="7">
        <f t="shared" si="4"/>
        <v>4.9599999999999998E-2</v>
      </c>
      <c r="E51" s="8">
        <f t="shared" si="5"/>
        <v>2.4304000000000001</v>
      </c>
      <c r="F51" s="18">
        <f t="shared" si="6"/>
        <v>1.9604000000000001</v>
      </c>
      <c r="G51" s="21">
        <f t="shared" si="7"/>
        <v>4.1710638297872347</v>
      </c>
      <c r="H51" s="9" t="s">
        <v>92</v>
      </c>
    </row>
    <row r="52" spans="1:8" ht="19.5" customHeight="1">
      <c r="A52" s="10" t="s">
        <v>93</v>
      </c>
      <c r="B52" s="25">
        <v>0.1</v>
      </c>
      <c r="C52" s="11">
        <v>3.2</v>
      </c>
      <c r="D52" s="11">
        <f t="shared" si="4"/>
        <v>6.4000000000000001E-2</v>
      </c>
      <c r="E52" s="12">
        <f t="shared" si="5"/>
        <v>3.1360000000000001</v>
      </c>
      <c r="F52" s="19">
        <f t="shared" si="6"/>
        <v>3.036</v>
      </c>
      <c r="G52" s="22">
        <f t="shared" si="7"/>
        <v>30.36</v>
      </c>
      <c r="H52" s="13" t="s">
        <v>94</v>
      </c>
    </row>
    <row r="53" spans="1:8" ht="19.5" customHeight="1">
      <c r="A53" s="6" t="s">
        <v>95</v>
      </c>
      <c r="B53" s="24">
        <v>0.23</v>
      </c>
      <c r="C53" s="7">
        <v>8</v>
      </c>
      <c r="D53" s="7">
        <f t="shared" si="4"/>
        <v>0.16</v>
      </c>
      <c r="E53" s="8">
        <f t="shared" si="5"/>
        <v>7.84</v>
      </c>
      <c r="F53" s="18">
        <f t="shared" si="6"/>
        <v>7.6099999999999994</v>
      </c>
      <c r="G53" s="21">
        <f t="shared" si="7"/>
        <v>33.086956521739125</v>
      </c>
      <c r="H53" s="9" t="s">
        <v>96</v>
      </c>
    </row>
    <row r="54" spans="1:8" ht="19.5" customHeight="1">
      <c r="A54" s="10" t="s">
        <v>60</v>
      </c>
      <c r="B54" s="25">
        <v>6.77</v>
      </c>
      <c r="C54" s="11">
        <v>8.24</v>
      </c>
      <c r="D54" s="11">
        <f t="shared" si="4"/>
        <v>0.1648</v>
      </c>
      <c r="E54" s="12">
        <f t="shared" si="5"/>
        <v>8.0752000000000006</v>
      </c>
      <c r="F54" s="19">
        <f t="shared" si="6"/>
        <v>1.305200000000001</v>
      </c>
      <c r="G54" s="22">
        <f t="shared" si="7"/>
        <v>0.19279172821270327</v>
      </c>
      <c r="H54" s="13" t="s">
        <v>97</v>
      </c>
    </row>
    <row r="55" spans="1:8" ht="19.5" customHeight="1">
      <c r="A55" s="6" t="s">
        <v>98</v>
      </c>
      <c r="B55" s="24">
        <v>25.5</v>
      </c>
      <c r="C55" s="7">
        <v>87.36</v>
      </c>
      <c r="D55" s="7">
        <f t="shared" si="4"/>
        <v>1.7472000000000001</v>
      </c>
      <c r="E55" s="8">
        <f t="shared" si="5"/>
        <v>85.612799999999993</v>
      </c>
      <c r="F55" s="18">
        <f t="shared" si="6"/>
        <v>60.112799999999993</v>
      </c>
      <c r="G55" s="21">
        <f t="shared" si="7"/>
        <v>2.3573647058823526</v>
      </c>
      <c r="H55" s="9" t="s">
        <v>99</v>
      </c>
    </row>
    <row r="56" spans="1:8" ht="19.5" customHeight="1">
      <c r="A56" s="10" t="s">
        <v>22</v>
      </c>
      <c r="B56" s="25">
        <v>0.03</v>
      </c>
      <c r="C56" s="11">
        <v>0.52</v>
      </c>
      <c r="D56" s="11">
        <f t="shared" si="4"/>
        <v>1.0400000000000001E-2</v>
      </c>
      <c r="E56" s="12">
        <f t="shared" si="5"/>
        <v>0.50960000000000005</v>
      </c>
      <c r="F56" s="19">
        <f t="shared" si="6"/>
        <v>0.47960000000000003</v>
      </c>
      <c r="G56" s="22">
        <f t="shared" si="7"/>
        <v>15.986666666666668</v>
      </c>
      <c r="H56" s="13" t="s">
        <v>100</v>
      </c>
    </row>
    <row r="57" spans="1:8" ht="19.5" customHeight="1">
      <c r="A57" s="6" t="s">
        <v>22</v>
      </c>
      <c r="B57" s="24">
        <v>0.04</v>
      </c>
      <c r="C57" s="7">
        <v>0.7</v>
      </c>
      <c r="D57" s="7">
        <f t="shared" si="4"/>
        <v>1.3999999999999999E-2</v>
      </c>
      <c r="E57" s="8">
        <f t="shared" si="5"/>
        <v>0.68599999999999994</v>
      </c>
      <c r="F57" s="18">
        <f t="shared" si="6"/>
        <v>0.64599999999999991</v>
      </c>
      <c r="G57" s="21">
        <f t="shared" si="7"/>
        <v>16.149999999999999</v>
      </c>
      <c r="H57" s="9" t="s">
        <v>101</v>
      </c>
    </row>
    <row r="58" spans="1:8" ht="19.5" customHeight="1">
      <c r="A58" s="10" t="s">
        <v>102</v>
      </c>
      <c r="B58" s="25">
        <v>0.36</v>
      </c>
      <c r="C58" s="11">
        <v>5</v>
      </c>
      <c r="D58" s="11">
        <f t="shared" si="4"/>
        <v>0.1</v>
      </c>
      <c r="E58" s="12">
        <f t="shared" si="5"/>
        <v>4.9000000000000004</v>
      </c>
      <c r="F58" s="19">
        <f t="shared" si="6"/>
        <v>4.54</v>
      </c>
      <c r="G58" s="22">
        <f t="shared" si="7"/>
        <v>12.611111111111112</v>
      </c>
      <c r="H58" s="13" t="s">
        <v>103</v>
      </c>
    </row>
    <row r="59" spans="1:8" ht="19.5" customHeight="1">
      <c r="A59" s="6" t="s">
        <v>104</v>
      </c>
      <c r="B59" s="24">
        <v>0.34</v>
      </c>
      <c r="C59" s="7">
        <v>3</v>
      </c>
      <c r="D59" s="7">
        <f t="shared" si="4"/>
        <v>0.06</v>
      </c>
      <c r="E59" s="8">
        <f t="shared" si="5"/>
        <v>2.94</v>
      </c>
      <c r="F59" s="18">
        <f t="shared" si="6"/>
        <v>2.6</v>
      </c>
      <c r="G59" s="21">
        <f t="shared" si="7"/>
        <v>7.6470588235294112</v>
      </c>
      <c r="H59" s="9" t="s">
        <v>105</v>
      </c>
    </row>
    <row r="60" spans="1:8" ht="19.5" customHeight="1">
      <c r="A60" s="10" t="s">
        <v>32</v>
      </c>
      <c r="B60" s="25">
        <v>3.52</v>
      </c>
      <c r="C60" s="11">
        <v>4.9000000000000004</v>
      </c>
      <c r="D60" s="11">
        <f t="shared" si="4"/>
        <v>9.8000000000000004E-2</v>
      </c>
      <c r="E60" s="12">
        <f t="shared" si="5"/>
        <v>4.8020000000000005</v>
      </c>
      <c r="F60" s="19">
        <f t="shared" si="6"/>
        <v>1.2820000000000005</v>
      </c>
      <c r="G60" s="22">
        <f t="shared" si="7"/>
        <v>0.36420454545454561</v>
      </c>
      <c r="H60" s="13" t="s">
        <v>106</v>
      </c>
    </row>
    <row r="61" spans="1:8" ht="19.5" customHeight="1">
      <c r="A61" s="6" t="s">
        <v>83</v>
      </c>
      <c r="B61" s="24">
        <v>0.03</v>
      </c>
      <c r="C61" s="7">
        <v>0.3</v>
      </c>
      <c r="D61" s="7">
        <f t="shared" si="4"/>
        <v>6.0000000000000001E-3</v>
      </c>
      <c r="E61" s="8">
        <f t="shared" si="5"/>
        <v>0.29399999999999998</v>
      </c>
      <c r="F61" s="18">
        <f t="shared" si="6"/>
        <v>0.26400000000000001</v>
      </c>
      <c r="G61" s="21">
        <f t="shared" si="7"/>
        <v>8.8000000000000007</v>
      </c>
      <c r="H61" s="9" t="s">
        <v>107</v>
      </c>
    </row>
    <row r="62" spans="1:8" ht="19.5" customHeight="1">
      <c r="A62" s="10" t="s">
        <v>108</v>
      </c>
      <c r="B62" s="25">
        <v>5.25</v>
      </c>
      <c r="C62" s="11">
        <v>20</v>
      </c>
      <c r="D62" s="11">
        <f t="shared" si="4"/>
        <v>0.4</v>
      </c>
      <c r="E62" s="12">
        <f t="shared" si="5"/>
        <v>19.600000000000001</v>
      </c>
      <c r="F62" s="19">
        <f t="shared" si="6"/>
        <v>14.350000000000001</v>
      </c>
      <c r="G62" s="22">
        <f t="shared" si="7"/>
        <v>2.7333333333333334</v>
      </c>
      <c r="H62" s="13" t="s">
        <v>109</v>
      </c>
    </row>
    <row r="63" spans="1:8" ht="19.5" customHeight="1">
      <c r="A63" s="6" t="s">
        <v>104</v>
      </c>
      <c r="B63" s="24">
        <v>0.28999999999999998</v>
      </c>
      <c r="C63" s="7">
        <v>0.71</v>
      </c>
      <c r="D63" s="7">
        <f t="shared" si="4"/>
        <v>1.4199999999999999E-2</v>
      </c>
      <c r="E63" s="8">
        <f t="shared" si="5"/>
        <v>0.69579999999999997</v>
      </c>
      <c r="F63" s="18">
        <f t="shared" si="6"/>
        <v>0.40579999999999999</v>
      </c>
      <c r="G63" s="21">
        <f t="shared" si="7"/>
        <v>1.3993103448275863</v>
      </c>
      <c r="H63" s="9" t="s">
        <v>110</v>
      </c>
    </row>
    <row r="64" spans="1:8" ht="19.5" customHeight="1">
      <c r="A64" s="10" t="s">
        <v>32</v>
      </c>
      <c r="B64" s="25">
        <v>1.02</v>
      </c>
      <c r="C64" s="11">
        <v>2.8</v>
      </c>
      <c r="D64" s="11">
        <f t="shared" si="4"/>
        <v>5.5999999999999994E-2</v>
      </c>
      <c r="E64" s="12">
        <f t="shared" si="5"/>
        <v>2.7439999999999998</v>
      </c>
      <c r="F64" s="19">
        <f t="shared" si="6"/>
        <v>1.7239999999999998</v>
      </c>
      <c r="G64" s="22">
        <f t="shared" si="7"/>
        <v>1.6901960784313723</v>
      </c>
      <c r="H64" s="13" t="s">
        <v>111</v>
      </c>
    </row>
    <row r="65" spans="1:8" ht="19.5" customHeight="1">
      <c r="A65" s="6" t="s">
        <v>112</v>
      </c>
      <c r="B65" s="24">
        <v>0.17</v>
      </c>
      <c r="C65" s="7">
        <v>1.6</v>
      </c>
      <c r="D65" s="7">
        <f t="shared" si="4"/>
        <v>3.2000000000000001E-2</v>
      </c>
      <c r="E65" s="8">
        <f t="shared" si="5"/>
        <v>1.5680000000000001</v>
      </c>
      <c r="F65" s="18">
        <f t="shared" si="6"/>
        <v>1.3980000000000001</v>
      </c>
      <c r="G65" s="21">
        <f t="shared" si="7"/>
        <v>8.2235294117647069</v>
      </c>
      <c r="H65" s="9" t="s">
        <v>113</v>
      </c>
    </row>
    <row r="66" spans="1:8" ht="19.5" customHeight="1">
      <c r="A66" s="10" t="s">
        <v>93</v>
      </c>
      <c r="B66" s="25">
        <v>0.3</v>
      </c>
      <c r="C66" s="11">
        <v>0.71</v>
      </c>
      <c r="D66" s="11">
        <f t="shared" si="4"/>
        <v>1.4199999999999999E-2</v>
      </c>
      <c r="E66" s="12">
        <f t="shared" si="5"/>
        <v>0.69579999999999997</v>
      </c>
      <c r="F66" s="19">
        <f t="shared" si="6"/>
        <v>0.39579999999999999</v>
      </c>
      <c r="G66" s="22">
        <f t="shared" si="7"/>
        <v>1.3193333333333332</v>
      </c>
      <c r="H66" s="13" t="s">
        <v>114</v>
      </c>
    </row>
    <row r="67" spans="1:8" ht="19.5" customHeight="1">
      <c r="A67" s="6" t="s">
        <v>115</v>
      </c>
      <c r="B67" s="24">
        <v>1.22</v>
      </c>
      <c r="C67" s="7">
        <v>3.25</v>
      </c>
      <c r="D67" s="7">
        <f t="shared" ref="D67:D98" si="8">C67*$B$1</f>
        <v>6.5000000000000002E-2</v>
      </c>
      <c r="E67" s="8">
        <f t="shared" ref="E67:E98" si="9">C67-D67</f>
        <v>3.1850000000000001</v>
      </c>
      <c r="F67" s="18">
        <f t="shared" ref="F67:F98" si="10">E67-B67</f>
        <v>1.9650000000000001</v>
      </c>
      <c r="G67" s="21">
        <f t="shared" ref="G67:G98" si="11">IF(B67=0,"",F67/B67)</f>
        <v>1.6106557377049182</v>
      </c>
      <c r="H67" s="9" t="s">
        <v>116</v>
      </c>
    </row>
    <row r="68" spans="1:8" ht="19.5" customHeight="1">
      <c r="A68" s="10" t="s">
        <v>58</v>
      </c>
      <c r="B68" s="25">
        <v>0.27</v>
      </c>
      <c r="C68" s="11">
        <v>0.7</v>
      </c>
      <c r="D68" s="11">
        <f t="shared" si="8"/>
        <v>1.3999999999999999E-2</v>
      </c>
      <c r="E68" s="12">
        <f t="shared" si="9"/>
        <v>0.68599999999999994</v>
      </c>
      <c r="F68" s="19">
        <f t="shared" si="10"/>
        <v>0.41599999999999993</v>
      </c>
      <c r="G68" s="22">
        <f t="shared" si="11"/>
        <v>1.5407407407407403</v>
      </c>
      <c r="H68" s="13" t="s">
        <v>117</v>
      </c>
    </row>
    <row r="69" spans="1:8" ht="19.5" customHeight="1">
      <c r="A69" s="6" t="s">
        <v>32</v>
      </c>
      <c r="B69" s="24">
        <v>0.94</v>
      </c>
      <c r="C69" s="7">
        <v>1.7</v>
      </c>
      <c r="D69" s="7">
        <f t="shared" si="8"/>
        <v>3.4000000000000002E-2</v>
      </c>
      <c r="E69" s="8">
        <f t="shared" si="9"/>
        <v>1.6659999999999999</v>
      </c>
      <c r="F69" s="18">
        <f t="shared" si="10"/>
        <v>0.72599999999999998</v>
      </c>
      <c r="G69" s="21">
        <f t="shared" si="11"/>
        <v>0.77234042553191495</v>
      </c>
      <c r="H69" s="9" t="s">
        <v>118</v>
      </c>
    </row>
    <row r="70" spans="1:8" ht="19.5" customHeight="1">
      <c r="A70" s="10" t="s">
        <v>24</v>
      </c>
      <c r="B70" s="25">
        <v>1.1299999999999999</v>
      </c>
      <c r="C70" s="11">
        <v>12.8</v>
      </c>
      <c r="D70" s="11">
        <f t="shared" si="8"/>
        <v>0.25600000000000001</v>
      </c>
      <c r="E70" s="12">
        <f t="shared" si="9"/>
        <v>12.544</v>
      </c>
      <c r="F70" s="19">
        <f t="shared" si="10"/>
        <v>11.414000000000001</v>
      </c>
      <c r="G70" s="22">
        <f t="shared" si="11"/>
        <v>10.100884955752214</v>
      </c>
      <c r="H70" s="13" t="s">
        <v>119</v>
      </c>
    </row>
    <row r="71" spans="1:8" ht="19.5" customHeight="1">
      <c r="A71" s="6" t="s">
        <v>74</v>
      </c>
      <c r="B71" s="24">
        <v>0.7</v>
      </c>
      <c r="C71" s="7">
        <v>1.05</v>
      </c>
      <c r="D71" s="7">
        <f t="shared" si="8"/>
        <v>2.1000000000000001E-2</v>
      </c>
      <c r="E71" s="8">
        <f t="shared" si="9"/>
        <v>1.0290000000000001</v>
      </c>
      <c r="F71" s="18">
        <f t="shared" si="10"/>
        <v>0.32900000000000018</v>
      </c>
      <c r="G71" s="21">
        <f t="shared" si="11"/>
        <v>0.47000000000000031</v>
      </c>
      <c r="H71" s="9" t="s">
        <v>120</v>
      </c>
    </row>
    <row r="72" spans="1:8" ht="19.5" customHeight="1">
      <c r="A72" s="10" t="s">
        <v>32</v>
      </c>
      <c r="B72" s="25">
        <v>0.41</v>
      </c>
      <c r="C72" s="11">
        <v>3.2</v>
      </c>
      <c r="D72" s="11">
        <f t="shared" si="8"/>
        <v>6.4000000000000001E-2</v>
      </c>
      <c r="E72" s="12">
        <f t="shared" si="9"/>
        <v>3.1360000000000001</v>
      </c>
      <c r="F72" s="19">
        <f t="shared" si="10"/>
        <v>2.726</v>
      </c>
      <c r="G72" s="22">
        <f t="shared" si="11"/>
        <v>6.6487804878048786</v>
      </c>
      <c r="H72" s="13" t="s">
        <v>121</v>
      </c>
    </row>
    <row r="73" spans="1:8" ht="19.5" customHeight="1">
      <c r="A73" s="6" t="s">
        <v>58</v>
      </c>
      <c r="B73" s="24">
        <v>0.03</v>
      </c>
      <c r="C73" s="7">
        <v>0.4</v>
      </c>
      <c r="D73" s="7">
        <f t="shared" si="8"/>
        <v>8.0000000000000002E-3</v>
      </c>
      <c r="E73" s="8">
        <f t="shared" si="9"/>
        <v>0.39200000000000002</v>
      </c>
      <c r="F73" s="18">
        <f t="shared" si="10"/>
        <v>0.36199999999999999</v>
      </c>
      <c r="G73" s="21">
        <f t="shared" si="11"/>
        <v>12.066666666666666</v>
      </c>
      <c r="H73" s="9" t="s">
        <v>122</v>
      </c>
    </row>
    <row r="74" spans="1:8" ht="19.5" customHeight="1">
      <c r="A74" s="10" t="s">
        <v>95</v>
      </c>
      <c r="B74" s="25">
        <v>0.42</v>
      </c>
      <c r="C74" s="11">
        <v>1.3</v>
      </c>
      <c r="D74" s="11">
        <f t="shared" si="8"/>
        <v>2.6000000000000002E-2</v>
      </c>
      <c r="E74" s="12">
        <f t="shared" si="9"/>
        <v>1.274</v>
      </c>
      <c r="F74" s="19">
        <f t="shared" si="10"/>
        <v>0.85400000000000009</v>
      </c>
      <c r="G74" s="22">
        <f t="shared" si="11"/>
        <v>2.0333333333333337</v>
      </c>
      <c r="H74" s="13" t="s">
        <v>123</v>
      </c>
    </row>
    <row r="75" spans="1:8" ht="19.5" customHeight="1">
      <c r="A75" s="6" t="s">
        <v>16</v>
      </c>
      <c r="B75" s="24">
        <v>0.69</v>
      </c>
      <c r="C75" s="7">
        <v>2.1</v>
      </c>
      <c r="D75" s="7">
        <f t="shared" si="8"/>
        <v>4.2000000000000003E-2</v>
      </c>
      <c r="E75" s="8">
        <f t="shared" si="9"/>
        <v>2.0580000000000003</v>
      </c>
      <c r="F75" s="18">
        <f t="shared" si="10"/>
        <v>1.3680000000000003</v>
      </c>
      <c r="G75" s="21">
        <f t="shared" si="11"/>
        <v>1.9826086956521745</v>
      </c>
      <c r="H75" s="9" t="s">
        <v>124</v>
      </c>
    </row>
    <row r="76" spans="1:8" ht="19.5" customHeight="1">
      <c r="A76" s="10" t="s">
        <v>32</v>
      </c>
      <c r="B76" s="25">
        <v>0.47</v>
      </c>
      <c r="C76" s="11">
        <v>1.62</v>
      </c>
      <c r="D76" s="11">
        <f t="shared" si="8"/>
        <v>3.2400000000000005E-2</v>
      </c>
      <c r="E76" s="12">
        <f t="shared" si="9"/>
        <v>1.5876000000000001</v>
      </c>
      <c r="F76" s="19">
        <f t="shared" si="10"/>
        <v>1.1176000000000001</v>
      </c>
      <c r="G76" s="22">
        <f t="shared" si="11"/>
        <v>2.3778723404255322</v>
      </c>
      <c r="H76" s="13" t="s">
        <v>125</v>
      </c>
    </row>
    <row r="77" spans="1:8" ht="19.5" customHeight="1">
      <c r="A77" s="6" t="s">
        <v>58</v>
      </c>
      <c r="B77" s="24">
        <v>0.03</v>
      </c>
      <c r="C77" s="7">
        <v>1</v>
      </c>
      <c r="D77" s="7">
        <f t="shared" si="8"/>
        <v>0.02</v>
      </c>
      <c r="E77" s="8">
        <f t="shared" si="9"/>
        <v>0.98</v>
      </c>
      <c r="F77" s="18">
        <f t="shared" si="10"/>
        <v>0.95</v>
      </c>
      <c r="G77" s="21">
        <f t="shared" si="11"/>
        <v>31.666666666666668</v>
      </c>
      <c r="H77" s="9" t="s">
        <v>126</v>
      </c>
    </row>
    <row r="78" spans="1:8" ht="19.5" customHeight="1">
      <c r="A78" s="10" t="s">
        <v>74</v>
      </c>
      <c r="B78" s="25">
        <v>0.18</v>
      </c>
      <c r="C78" s="11">
        <v>1.1000000000000001</v>
      </c>
      <c r="D78" s="11">
        <f t="shared" si="8"/>
        <v>2.2000000000000002E-2</v>
      </c>
      <c r="E78" s="12">
        <f t="shared" si="9"/>
        <v>1.0780000000000001</v>
      </c>
      <c r="F78" s="19">
        <f t="shared" si="10"/>
        <v>0.89800000000000013</v>
      </c>
      <c r="G78" s="22">
        <f t="shared" si="11"/>
        <v>4.9888888888888898</v>
      </c>
      <c r="H78" s="13" t="s">
        <v>127</v>
      </c>
    </row>
    <row r="79" spans="1:8" ht="19.5" customHeight="1">
      <c r="A79" s="6" t="s">
        <v>30</v>
      </c>
      <c r="B79" s="24">
        <v>0.17</v>
      </c>
      <c r="C79" s="7">
        <v>0.6</v>
      </c>
      <c r="D79" s="7">
        <f t="shared" si="8"/>
        <v>1.2E-2</v>
      </c>
      <c r="E79" s="8">
        <f t="shared" si="9"/>
        <v>0.58799999999999997</v>
      </c>
      <c r="F79" s="18">
        <f t="shared" si="10"/>
        <v>0.41799999999999993</v>
      </c>
      <c r="G79" s="21">
        <f t="shared" si="11"/>
        <v>2.458823529411764</v>
      </c>
      <c r="H79" s="9" t="s">
        <v>128</v>
      </c>
    </row>
    <row r="80" spans="1:8" ht="19.5" customHeight="1">
      <c r="A80" s="10" t="s">
        <v>102</v>
      </c>
      <c r="B80" s="25">
        <v>0.27</v>
      </c>
      <c r="C80" s="11">
        <v>0.75</v>
      </c>
      <c r="D80" s="11">
        <f t="shared" si="8"/>
        <v>1.4999999999999999E-2</v>
      </c>
      <c r="E80" s="12">
        <f t="shared" si="9"/>
        <v>0.73499999999999999</v>
      </c>
      <c r="F80" s="19">
        <f t="shared" si="10"/>
        <v>0.46499999999999997</v>
      </c>
      <c r="G80" s="22">
        <f t="shared" si="11"/>
        <v>1.7222222222222221</v>
      </c>
      <c r="H80" s="13" t="s">
        <v>129</v>
      </c>
    </row>
    <row r="81" spans="1:8" ht="19.5" customHeight="1">
      <c r="A81" s="6" t="s">
        <v>14</v>
      </c>
      <c r="B81" s="24">
        <v>0.28999999999999998</v>
      </c>
      <c r="C81" s="7">
        <v>0.7</v>
      </c>
      <c r="D81" s="7">
        <f t="shared" si="8"/>
        <v>1.3999999999999999E-2</v>
      </c>
      <c r="E81" s="8">
        <f t="shared" si="9"/>
        <v>0.68599999999999994</v>
      </c>
      <c r="F81" s="18">
        <f t="shared" si="10"/>
        <v>0.39599999999999996</v>
      </c>
      <c r="G81" s="21">
        <f t="shared" si="11"/>
        <v>1.3655172413793104</v>
      </c>
      <c r="H81" s="9" t="s">
        <v>130</v>
      </c>
    </row>
    <row r="82" spans="1:8" ht="19.5" customHeight="1">
      <c r="A82" s="10" t="s">
        <v>20</v>
      </c>
      <c r="B82" s="25">
        <v>0.2</v>
      </c>
      <c r="C82" s="11">
        <v>2</v>
      </c>
      <c r="D82" s="11">
        <f t="shared" si="8"/>
        <v>0.04</v>
      </c>
      <c r="E82" s="12">
        <f t="shared" si="9"/>
        <v>1.96</v>
      </c>
      <c r="F82" s="19">
        <f t="shared" si="10"/>
        <v>1.76</v>
      </c>
      <c r="G82" s="22">
        <f t="shared" si="11"/>
        <v>8.7999999999999989</v>
      </c>
      <c r="H82" s="13" t="s">
        <v>131</v>
      </c>
    </row>
    <row r="83" spans="1:8" ht="19.5" customHeight="1">
      <c r="A83" s="6" t="s">
        <v>32</v>
      </c>
      <c r="B83" s="24">
        <v>0.44</v>
      </c>
      <c r="C83" s="7">
        <v>8.1</v>
      </c>
      <c r="D83" s="7">
        <f t="shared" si="8"/>
        <v>0.16200000000000001</v>
      </c>
      <c r="E83" s="8">
        <f t="shared" si="9"/>
        <v>7.9379999999999997</v>
      </c>
      <c r="F83" s="18">
        <f t="shared" si="10"/>
        <v>7.4979999999999993</v>
      </c>
      <c r="G83" s="21">
        <f t="shared" si="11"/>
        <v>17.040909090909089</v>
      </c>
      <c r="H83" s="9" t="s">
        <v>132</v>
      </c>
    </row>
    <row r="84" spans="1:8" ht="19.5" customHeight="1">
      <c r="A84" s="10" t="s">
        <v>44</v>
      </c>
      <c r="B84" s="25">
        <v>3.52</v>
      </c>
      <c r="C84" s="11">
        <v>4.45</v>
      </c>
      <c r="D84" s="11">
        <f t="shared" si="8"/>
        <v>8.900000000000001E-2</v>
      </c>
      <c r="E84" s="12">
        <f t="shared" si="9"/>
        <v>4.3609999999999998</v>
      </c>
      <c r="F84" s="19">
        <f t="shared" si="10"/>
        <v>0.84099999999999975</v>
      </c>
      <c r="G84" s="22">
        <f t="shared" si="11"/>
        <v>0.23892045454545446</v>
      </c>
      <c r="H84" s="13" t="s">
        <v>133</v>
      </c>
    </row>
    <row r="85" spans="1:8" ht="19.5" customHeight="1">
      <c r="A85" s="6" t="s">
        <v>60</v>
      </c>
      <c r="B85" s="24">
        <v>1.28</v>
      </c>
      <c r="C85" s="7">
        <v>12.59</v>
      </c>
      <c r="D85" s="7">
        <f t="shared" si="8"/>
        <v>0.25180000000000002</v>
      </c>
      <c r="E85" s="8">
        <f t="shared" si="9"/>
        <v>12.338200000000001</v>
      </c>
      <c r="F85" s="18">
        <f t="shared" si="10"/>
        <v>11.058200000000001</v>
      </c>
      <c r="G85" s="21">
        <f t="shared" si="11"/>
        <v>8.6392187500000013</v>
      </c>
      <c r="H85" s="9" t="s">
        <v>134</v>
      </c>
    </row>
    <row r="86" spans="1:8" ht="19.5" customHeight="1">
      <c r="A86" s="10" t="s">
        <v>64</v>
      </c>
      <c r="B86" s="25">
        <v>1</v>
      </c>
      <c r="C86" s="11">
        <v>2.4</v>
      </c>
      <c r="D86" s="11">
        <f t="shared" si="8"/>
        <v>4.8000000000000001E-2</v>
      </c>
      <c r="E86" s="12">
        <f t="shared" si="9"/>
        <v>2.3519999999999999</v>
      </c>
      <c r="F86" s="19">
        <f t="shared" si="10"/>
        <v>1.3519999999999999</v>
      </c>
      <c r="G86" s="22">
        <f t="shared" si="11"/>
        <v>1.3519999999999999</v>
      </c>
      <c r="H86" s="13" t="s">
        <v>135</v>
      </c>
    </row>
    <row r="87" spans="1:8" ht="19.5" customHeight="1">
      <c r="A87" s="6" t="s">
        <v>12</v>
      </c>
      <c r="B87" s="24">
        <v>0.14000000000000001</v>
      </c>
      <c r="C87" s="7">
        <v>1.5</v>
      </c>
      <c r="D87" s="7">
        <f t="shared" si="8"/>
        <v>0.03</v>
      </c>
      <c r="E87" s="8">
        <f t="shared" si="9"/>
        <v>1.47</v>
      </c>
      <c r="F87" s="18">
        <f t="shared" si="10"/>
        <v>1.33</v>
      </c>
      <c r="G87" s="21">
        <f t="shared" si="11"/>
        <v>9.5</v>
      </c>
      <c r="H87" s="9" t="s">
        <v>136</v>
      </c>
    </row>
    <row r="88" spans="1:8" ht="19.5" customHeight="1">
      <c r="A88" s="10" t="s">
        <v>137</v>
      </c>
      <c r="B88" s="25">
        <v>12.1</v>
      </c>
      <c r="C88" s="11">
        <v>20.89</v>
      </c>
      <c r="D88" s="11">
        <f t="shared" si="8"/>
        <v>0.4178</v>
      </c>
      <c r="E88" s="12">
        <f t="shared" si="9"/>
        <v>20.472200000000001</v>
      </c>
      <c r="F88" s="19">
        <f t="shared" si="10"/>
        <v>8.3722000000000012</v>
      </c>
      <c r="G88" s="22">
        <f t="shared" si="11"/>
        <v>0.69191735537190091</v>
      </c>
      <c r="H88" s="13" t="s">
        <v>138</v>
      </c>
    </row>
    <row r="89" spans="1:8" ht="19.5" customHeight="1">
      <c r="A89" s="6" t="s">
        <v>87</v>
      </c>
      <c r="B89" s="24">
        <v>4.2</v>
      </c>
      <c r="C89" s="7">
        <v>20.89</v>
      </c>
      <c r="D89" s="7">
        <f t="shared" si="8"/>
        <v>0.4178</v>
      </c>
      <c r="E89" s="8">
        <f t="shared" si="9"/>
        <v>20.472200000000001</v>
      </c>
      <c r="F89" s="18">
        <f t="shared" si="10"/>
        <v>16.272200000000002</v>
      </c>
      <c r="G89" s="21">
        <f t="shared" si="11"/>
        <v>3.8743333333333334</v>
      </c>
      <c r="H89" s="9" t="s">
        <v>139</v>
      </c>
    </row>
    <row r="90" spans="1:8" ht="19.5" customHeight="1">
      <c r="A90" s="10" t="s">
        <v>140</v>
      </c>
      <c r="B90" s="25">
        <v>7.59</v>
      </c>
      <c r="C90" s="11">
        <v>21.5</v>
      </c>
      <c r="D90" s="11">
        <f t="shared" si="8"/>
        <v>0.43</v>
      </c>
      <c r="E90" s="12">
        <f t="shared" si="9"/>
        <v>21.07</v>
      </c>
      <c r="F90" s="19">
        <f t="shared" si="10"/>
        <v>13.48</v>
      </c>
      <c r="G90" s="22">
        <f t="shared" si="11"/>
        <v>1.7760210803689065</v>
      </c>
      <c r="H90" s="13" t="s">
        <v>141</v>
      </c>
    </row>
    <row r="91" spans="1:8" ht="19.5" customHeight="1">
      <c r="A91" s="6" t="s">
        <v>66</v>
      </c>
      <c r="B91" s="24">
        <v>0.18</v>
      </c>
      <c r="C91" s="7">
        <v>2.8</v>
      </c>
      <c r="D91" s="7">
        <f t="shared" si="8"/>
        <v>5.5999999999999994E-2</v>
      </c>
      <c r="E91" s="8">
        <f t="shared" si="9"/>
        <v>2.7439999999999998</v>
      </c>
      <c r="F91" s="18">
        <f t="shared" si="10"/>
        <v>2.5639999999999996</v>
      </c>
      <c r="G91" s="21">
        <f t="shared" si="11"/>
        <v>14.244444444444444</v>
      </c>
      <c r="H91" s="9" t="s">
        <v>142</v>
      </c>
    </row>
    <row r="92" spans="1:8" ht="19.5" customHeight="1">
      <c r="A92" s="10" t="s">
        <v>42</v>
      </c>
      <c r="B92" s="25">
        <v>0.28999999999999998</v>
      </c>
      <c r="C92" s="11">
        <v>0.8</v>
      </c>
      <c r="D92" s="11">
        <f t="shared" si="8"/>
        <v>1.6E-2</v>
      </c>
      <c r="E92" s="12">
        <f t="shared" si="9"/>
        <v>0.78400000000000003</v>
      </c>
      <c r="F92" s="19">
        <f t="shared" si="10"/>
        <v>0.49400000000000005</v>
      </c>
      <c r="G92" s="22">
        <f t="shared" si="11"/>
        <v>1.7034482758620693</v>
      </c>
      <c r="H92" s="13" t="s">
        <v>143</v>
      </c>
    </row>
    <row r="93" spans="1:8" ht="19.5" customHeight="1">
      <c r="A93" s="6" t="s">
        <v>144</v>
      </c>
      <c r="B93" s="24">
        <v>0.79</v>
      </c>
      <c r="C93" s="7">
        <v>15</v>
      </c>
      <c r="D93" s="7">
        <f t="shared" si="8"/>
        <v>0.3</v>
      </c>
      <c r="E93" s="8">
        <f t="shared" si="9"/>
        <v>14.7</v>
      </c>
      <c r="F93" s="18">
        <f t="shared" si="10"/>
        <v>13.91</v>
      </c>
      <c r="G93" s="21">
        <f t="shared" si="11"/>
        <v>17.60759493670886</v>
      </c>
      <c r="H93" s="9" t="s">
        <v>145</v>
      </c>
    </row>
    <row r="94" spans="1:8" ht="19.5" customHeight="1">
      <c r="A94" s="10" t="s">
        <v>66</v>
      </c>
      <c r="B94" s="25">
        <v>0.61</v>
      </c>
      <c r="C94" s="11">
        <v>1.5</v>
      </c>
      <c r="D94" s="11">
        <f t="shared" si="8"/>
        <v>0.03</v>
      </c>
      <c r="E94" s="12">
        <f t="shared" si="9"/>
        <v>1.47</v>
      </c>
      <c r="F94" s="19">
        <f t="shared" si="10"/>
        <v>0.86</v>
      </c>
      <c r="G94" s="22">
        <f t="shared" si="11"/>
        <v>1.4098360655737705</v>
      </c>
      <c r="H94" s="13" t="s">
        <v>146</v>
      </c>
    </row>
    <row r="95" spans="1:8" ht="19.5" customHeight="1">
      <c r="A95" s="6" t="s">
        <v>32</v>
      </c>
      <c r="B95" s="24">
        <v>0.28000000000000003</v>
      </c>
      <c r="C95" s="7">
        <v>3.5</v>
      </c>
      <c r="D95" s="7">
        <f t="shared" si="8"/>
        <v>7.0000000000000007E-2</v>
      </c>
      <c r="E95" s="8">
        <f t="shared" si="9"/>
        <v>3.43</v>
      </c>
      <c r="F95" s="18">
        <f t="shared" si="10"/>
        <v>3.1500000000000004</v>
      </c>
      <c r="G95" s="21">
        <f t="shared" si="11"/>
        <v>11.25</v>
      </c>
      <c r="H95" s="9" t="s">
        <v>147</v>
      </c>
    </row>
    <row r="96" spans="1:8" ht="19.5" customHeight="1">
      <c r="A96" s="10" t="s">
        <v>22</v>
      </c>
      <c r="B96" s="25">
        <v>0.03</v>
      </c>
      <c r="C96" s="11">
        <v>3</v>
      </c>
      <c r="D96" s="11">
        <f t="shared" si="8"/>
        <v>0.06</v>
      </c>
      <c r="E96" s="12">
        <f t="shared" si="9"/>
        <v>2.94</v>
      </c>
      <c r="F96" s="19">
        <f t="shared" si="10"/>
        <v>2.91</v>
      </c>
      <c r="G96" s="22">
        <f t="shared" si="11"/>
        <v>97.000000000000014</v>
      </c>
      <c r="H96" s="13" t="s">
        <v>148</v>
      </c>
    </row>
    <row r="97" spans="1:8" ht="19.5" customHeight="1">
      <c r="A97" s="6" t="s">
        <v>24</v>
      </c>
      <c r="B97" s="24">
        <v>2.59</v>
      </c>
      <c r="C97" s="7">
        <v>3.9</v>
      </c>
      <c r="D97" s="7">
        <f t="shared" si="8"/>
        <v>7.8E-2</v>
      </c>
      <c r="E97" s="8">
        <f t="shared" si="9"/>
        <v>3.8220000000000001</v>
      </c>
      <c r="F97" s="18">
        <f t="shared" si="10"/>
        <v>1.2320000000000002</v>
      </c>
      <c r="G97" s="21">
        <f t="shared" si="11"/>
        <v>0.47567567567567576</v>
      </c>
      <c r="H97" s="9" t="s">
        <v>149</v>
      </c>
    </row>
    <row r="98" spans="1:8" ht="19.5" customHeight="1">
      <c r="A98" s="10" t="s">
        <v>58</v>
      </c>
      <c r="B98" s="25">
        <v>1.52</v>
      </c>
      <c r="C98" s="11">
        <v>2.8</v>
      </c>
      <c r="D98" s="11">
        <f t="shared" si="8"/>
        <v>5.5999999999999994E-2</v>
      </c>
      <c r="E98" s="12">
        <f t="shared" si="9"/>
        <v>2.7439999999999998</v>
      </c>
      <c r="F98" s="19">
        <f t="shared" si="10"/>
        <v>1.2239999999999998</v>
      </c>
      <c r="G98" s="22">
        <f t="shared" si="11"/>
        <v>0.80526315789473668</v>
      </c>
      <c r="H98" s="13" t="s">
        <v>150</v>
      </c>
    </row>
    <row r="99" spans="1:8" ht="19.5" customHeight="1">
      <c r="A99" s="6" t="s">
        <v>151</v>
      </c>
      <c r="B99" s="24">
        <v>7.2</v>
      </c>
      <c r="C99" s="7">
        <v>11</v>
      </c>
      <c r="D99" s="7">
        <f t="shared" ref="D99:D130" si="12">C99*$B$1</f>
        <v>0.22</v>
      </c>
      <c r="E99" s="8">
        <f t="shared" ref="E99:E130" si="13">C99-D99</f>
        <v>10.78</v>
      </c>
      <c r="F99" s="18">
        <f t="shared" ref="F99:F130" si="14">E99-B99</f>
        <v>3.5799999999999992</v>
      </c>
      <c r="G99" s="21">
        <f t="shared" ref="G99:G130" si="15">IF(B99=0,"",F99/B99)</f>
        <v>0.49722222222222212</v>
      </c>
      <c r="H99" s="9" t="s">
        <v>152</v>
      </c>
    </row>
    <row r="100" spans="1:8" ht="19.5" customHeight="1">
      <c r="A100" s="10" t="s">
        <v>58</v>
      </c>
      <c r="B100" s="25">
        <v>0.22</v>
      </c>
      <c r="C100" s="11">
        <v>2.6</v>
      </c>
      <c r="D100" s="11">
        <f t="shared" si="12"/>
        <v>5.2000000000000005E-2</v>
      </c>
      <c r="E100" s="12">
        <f t="shared" si="13"/>
        <v>2.548</v>
      </c>
      <c r="F100" s="19">
        <f t="shared" si="14"/>
        <v>2.3279999999999998</v>
      </c>
      <c r="G100" s="22">
        <f t="shared" si="15"/>
        <v>10.58181818181818</v>
      </c>
      <c r="H100" s="13" t="s">
        <v>153</v>
      </c>
    </row>
    <row r="101" spans="1:8" ht="19.5" customHeight="1">
      <c r="A101" s="6" t="s">
        <v>66</v>
      </c>
      <c r="B101" s="24">
        <v>0.15</v>
      </c>
      <c r="C101" s="7">
        <v>2.7</v>
      </c>
      <c r="D101" s="7">
        <f t="shared" si="12"/>
        <v>5.4000000000000006E-2</v>
      </c>
      <c r="E101" s="8">
        <f t="shared" si="13"/>
        <v>2.6460000000000004</v>
      </c>
      <c r="F101" s="18">
        <f t="shared" si="14"/>
        <v>2.4960000000000004</v>
      </c>
      <c r="G101" s="21">
        <f t="shared" si="15"/>
        <v>16.640000000000004</v>
      </c>
      <c r="H101" s="9" t="s">
        <v>154</v>
      </c>
    </row>
    <row r="102" spans="1:8" ht="19.5" customHeight="1">
      <c r="A102" s="10" t="s">
        <v>155</v>
      </c>
      <c r="B102" s="25">
        <v>48.3</v>
      </c>
      <c r="C102" s="11">
        <v>62</v>
      </c>
      <c r="D102" s="11">
        <f t="shared" si="12"/>
        <v>1.24</v>
      </c>
      <c r="E102" s="12">
        <f t="shared" si="13"/>
        <v>60.76</v>
      </c>
      <c r="F102" s="19">
        <f t="shared" si="14"/>
        <v>12.46</v>
      </c>
      <c r="G102" s="22">
        <f t="shared" si="15"/>
        <v>0.25797101449275367</v>
      </c>
      <c r="H102" s="13" t="s">
        <v>156</v>
      </c>
    </row>
    <row r="103" spans="1:8" ht="19.5" customHeight="1">
      <c r="A103" s="6" t="s">
        <v>157</v>
      </c>
      <c r="B103" s="24">
        <v>0.92</v>
      </c>
      <c r="C103" s="7">
        <v>2.4500000000000002</v>
      </c>
      <c r="D103" s="7">
        <f t="shared" si="12"/>
        <v>4.9000000000000002E-2</v>
      </c>
      <c r="E103" s="8">
        <f t="shared" si="13"/>
        <v>2.4010000000000002</v>
      </c>
      <c r="F103" s="18">
        <f t="shared" si="14"/>
        <v>1.4810000000000003</v>
      </c>
      <c r="G103" s="21">
        <f t="shared" si="15"/>
        <v>1.6097826086956524</v>
      </c>
      <c r="H103" s="9" t="s">
        <v>158</v>
      </c>
    </row>
    <row r="104" spans="1:8" ht="19.5" customHeight="1">
      <c r="A104" s="10" t="s">
        <v>74</v>
      </c>
      <c r="B104" s="25">
        <v>0.28999999999999998</v>
      </c>
      <c r="C104" s="11">
        <v>0.7</v>
      </c>
      <c r="D104" s="11">
        <f t="shared" si="12"/>
        <v>1.3999999999999999E-2</v>
      </c>
      <c r="E104" s="12">
        <f t="shared" si="13"/>
        <v>0.68599999999999994</v>
      </c>
      <c r="F104" s="19">
        <f t="shared" si="14"/>
        <v>0.39599999999999996</v>
      </c>
      <c r="G104" s="22">
        <f t="shared" si="15"/>
        <v>1.3655172413793104</v>
      </c>
      <c r="H104" s="13" t="s">
        <v>159</v>
      </c>
    </row>
    <row r="105" spans="1:8" ht="19.5" customHeight="1">
      <c r="A105" s="6" t="s">
        <v>160</v>
      </c>
      <c r="B105" s="24">
        <v>2.59</v>
      </c>
      <c r="C105" s="7">
        <v>3.2</v>
      </c>
      <c r="D105" s="7">
        <f t="shared" si="12"/>
        <v>6.4000000000000001E-2</v>
      </c>
      <c r="E105" s="8">
        <f t="shared" si="13"/>
        <v>3.1360000000000001</v>
      </c>
      <c r="F105" s="18">
        <f t="shared" si="14"/>
        <v>0.54600000000000026</v>
      </c>
      <c r="G105" s="21">
        <f t="shared" si="15"/>
        <v>0.21081081081081093</v>
      </c>
      <c r="H105" s="9" t="s">
        <v>161</v>
      </c>
    </row>
    <row r="106" spans="1:8" ht="19.5" customHeight="1">
      <c r="A106" s="10" t="s">
        <v>32</v>
      </c>
      <c r="B106" s="25">
        <v>0.34</v>
      </c>
      <c r="C106" s="11">
        <v>0.7</v>
      </c>
      <c r="D106" s="11">
        <f t="shared" si="12"/>
        <v>1.3999999999999999E-2</v>
      </c>
      <c r="E106" s="12">
        <f t="shared" si="13"/>
        <v>0.68599999999999994</v>
      </c>
      <c r="F106" s="19">
        <f t="shared" si="14"/>
        <v>0.34599999999999992</v>
      </c>
      <c r="G106" s="22">
        <f t="shared" si="15"/>
        <v>1.0176470588235291</v>
      </c>
      <c r="H106" s="13" t="s">
        <v>162</v>
      </c>
    </row>
    <row r="107" spans="1:8" ht="19.5" customHeight="1">
      <c r="A107" s="6" t="s">
        <v>32</v>
      </c>
      <c r="B107" s="24">
        <v>2.59</v>
      </c>
      <c r="C107" s="7">
        <v>3.2</v>
      </c>
      <c r="D107" s="7">
        <f t="shared" si="12"/>
        <v>6.4000000000000001E-2</v>
      </c>
      <c r="E107" s="8">
        <f t="shared" si="13"/>
        <v>3.1360000000000001</v>
      </c>
      <c r="F107" s="18">
        <f t="shared" si="14"/>
        <v>0.54600000000000026</v>
      </c>
      <c r="G107" s="21">
        <f t="shared" si="15"/>
        <v>0.21081081081081093</v>
      </c>
      <c r="H107" s="9" t="s">
        <v>163</v>
      </c>
    </row>
    <row r="108" spans="1:8" ht="19.5" customHeight="1">
      <c r="A108" s="10" t="s">
        <v>98</v>
      </c>
      <c r="B108" s="25">
        <v>5.28</v>
      </c>
      <c r="C108" s="11">
        <v>18</v>
      </c>
      <c r="D108" s="11">
        <f t="shared" si="12"/>
        <v>0.36</v>
      </c>
      <c r="E108" s="12">
        <f t="shared" si="13"/>
        <v>17.64</v>
      </c>
      <c r="F108" s="19">
        <f t="shared" si="14"/>
        <v>12.36</v>
      </c>
      <c r="G108" s="22">
        <f t="shared" si="15"/>
        <v>2.3409090909090908</v>
      </c>
      <c r="H108" s="13" t="s">
        <v>164</v>
      </c>
    </row>
    <row r="109" spans="1:8" ht="19.5" customHeight="1">
      <c r="A109" s="6" t="s">
        <v>112</v>
      </c>
      <c r="B109" s="24">
        <v>0.3</v>
      </c>
      <c r="C109" s="7">
        <v>2.2999999999999998</v>
      </c>
      <c r="D109" s="7">
        <f t="shared" si="12"/>
        <v>4.5999999999999999E-2</v>
      </c>
      <c r="E109" s="8">
        <f t="shared" si="13"/>
        <v>2.254</v>
      </c>
      <c r="F109" s="18">
        <f t="shared" si="14"/>
        <v>1.954</v>
      </c>
      <c r="G109" s="21">
        <f t="shared" si="15"/>
        <v>6.5133333333333336</v>
      </c>
      <c r="H109" s="9" t="s">
        <v>165</v>
      </c>
    </row>
    <row r="110" spans="1:8" ht="19.5" customHeight="1">
      <c r="A110" s="10" t="s">
        <v>24</v>
      </c>
      <c r="B110" s="25">
        <v>0.91</v>
      </c>
      <c r="C110" s="11">
        <v>3.1</v>
      </c>
      <c r="D110" s="11">
        <f t="shared" si="12"/>
        <v>6.2000000000000006E-2</v>
      </c>
      <c r="E110" s="12">
        <f t="shared" si="13"/>
        <v>3.0380000000000003</v>
      </c>
      <c r="F110" s="19">
        <f t="shared" si="14"/>
        <v>2.1280000000000001</v>
      </c>
      <c r="G110" s="22">
        <f t="shared" si="15"/>
        <v>2.3384615384615386</v>
      </c>
      <c r="H110" s="13" t="s">
        <v>166</v>
      </c>
    </row>
    <row r="111" spans="1:8" ht="19.5" customHeight="1">
      <c r="A111" s="6" t="s">
        <v>24</v>
      </c>
      <c r="B111" s="24">
        <v>5</v>
      </c>
      <c r="C111" s="7">
        <v>14</v>
      </c>
      <c r="D111" s="7">
        <f t="shared" si="12"/>
        <v>0.28000000000000003</v>
      </c>
      <c r="E111" s="8">
        <f t="shared" si="13"/>
        <v>13.72</v>
      </c>
      <c r="F111" s="18">
        <f t="shared" si="14"/>
        <v>8.7200000000000006</v>
      </c>
      <c r="G111" s="21">
        <f t="shared" si="15"/>
        <v>1.7440000000000002</v>
      </c>
      <c r="H111" s="9" t="s">
        <v>167</v>
      </c>
    </row>
    <row r="112" spans="1:8" ht="19.5" customHeight="1">
      <c r="A112" s="10" t="s">
        <v>55</v>
      </c>
      <c r="B112" s="25">
        <v>1.1200000000000001</v>
      </c>
      <c r="C112" s="11">
        <v>4.8</v>
      </c>
      <c r="D112" s="11">
        <f t="shared" si="12"/>
        <v>9.6000000000000002E-2</v>
      </c>
      <c r="E112" s="12">
        <f t="shared" si="13"/>
        <v>4.7039999999999997</v>
      </c>
      <c r="F112" s="19">
        <f t="shared" si="14"/>
        <v>3.5839999999999996</v>
      </c>
      <c r="G112" s="22">
        <f t="shared" si="15"/>
        <v>3.1999999999999993</v>
      </c>
      <c r="H112" s="13" t="s">
        <v>168</v>
      </c>
    </row>
    <row r="113" spans="1:8" ht="19.5" customHeight="1">
      <c r="A113" s="6" t="s">
        <v>32</v>
      </c>
      <c r="B113" s="24">
        <v>0.5</v>
      </c>
      <c r="C113" s="7">
        <v>0.7</v>
      </c>
      <c r="D113" s="7">
        <f t="shared" si="12"/>
        <v>1.3999999999999999E-2</v>
      </c>
      <c r="E113" s="8">
        <f t="shared" si="13"/>
        <v>0.68599999999999994</v>
      </c>
      <c r="F113" s="18">
        <f t="shared" si="14"/>
        <v>0.18599999999999994</v>
      </c>
      <c r="G113" s="21">
        <f t="shared" si="15"/>
        <v>0.37199999999999989</v>
      </c>
      <c r="H113" s="9" t="s">
        <v>169</v>
      </c>
    </row>
    <row r="114" spans="1:8" ht="19.5" customHeight="1">
      <c r="A114" s="10" t="s">
        <v>16</v>
      </c>
      <c r="B114" s="25">
        <v>0.68</v>
      </c>
      <c r="C114" s="11">
        <v>4.3</v>
      </c>
      <c r="D114" s="11">
        <f t="shared" si="12"/>
        <v>8.5999999999999993E-2</v>
      </c>
      <c r="E114" s="12">
        <f t="shared" si="13"/>
        <v>4.2139999999999995</v>
      </c>
      <c r="F114" s="19">
        <f t="shared" si="14"/>
        <v>3.5339999999999994</v>
      </c>
      <c r="G114" s="22">
        <f t="shared" si="15"/>
        <v>5.1970588235294102</v>
      </c>
      <c r="H114" s="13" t="s">
        <v>170</v>
      </c>
    </row>
    <row r="115" spans="1:8" ht="19.5" customHeight="1">
      <c r="A115" s="6" t="s">
        <v>171</v>
      </c>
      <c r="B115" s="24">
        <v>0.8</v>
      </c>
      <c r="C115" s="7">
        <v>2.15</v>
      </c>
      <c r="D115" s="7">
        <f t="shared" si="12"/>
        <v>4.2999999999999997E-2</v>
      </c>
      <c r="E115" s="8">
        <f t="shared" si="13"/>
        <v>2.1069999999999998</v>
      </c>
      <c r="F115" s="18">
        <f t="shared" si="14"/>
        <v>1.3069999999999997</v>
      </c>
      <c r="G115" s="21">
        <f t="shared" si="15"/>
        <v>1.6337499999999996</v>
      </c>
      <c r="H115" s="9" t="s">
        <v>172</v>
      </c>
    </row>
    <row r="116" spans="1:8" ht="19.5" customHeight="1">
      <c r="A116" s="10" t="s">
        <v>20</v>
      </c>
      <c r="B116" s="25">
        <v>0.03</v>
      </c>
      <c r="C116" s="11">
        <v>0.75</v>
      </c>
      <c r="D116" s="11">
        <f t="shared" si="12"/>
        <v>1.4999999999999999E-2</v>
      </c>
      <c r="E116" s="12">
        <f t="shared" si="13"/>
        <v>0.73499999999999999</v>
      </c>
      <c r="F116" s="19">
        <f t="shared" si="14"/>
        <v>0.70499999999999996</v>
      </c>
      <c r="G116" s="22">
        <f t="shared" si="15"/>
        <v>23.5</v>
      </c>
      <c r="H116" s="13" t="s">
        <v>173</v>
      </c>
    </row>
    <row r="117" spans="1:8" ht="19.5" customHeight="1">
      <c r="A117" s="6" t="s">
        <v>32</v>
      </c>
      <c r="B117" s="24">
        <v>1.99</v>
      </c>
      <c r="C117" s="7">
        <v>3.5</v>
      </c>
      <c r="D117" s="7">
        <f t="shared" si="12"/>
        <v>7.0000000000000007E-2</v>
      </c>
      <c r="E117" s="8">
        <f t="shared" si="13"/>
        <v>3.43</v>
      </c>
      <c r="F117" s="18">
        <f t="shared" si="14"/>
        <v>1.4400000000000002</v>
      </c>
      <c r="G117" s="21">
        <f t="shared" si="15"/>
        <v>0.72361809045226144</v>
      </c>
      <c r="H117" s="9" t="s">
        <v>174</v>
      </c>
    </row>
    <row r="118" spans="1:8" ht="19.5" customHeight="1">
      <c r="A118" s="10" t="s">
        <v>175</v>
      </c>
      <c r="B118" s="25">
        <v>2.0499999999999998</v>
      </c>
      <c r="C118" s="11">
        <v>6</v>
      </c>
      <c r="D118" s="11">
        <f t="shared" si="12"/>
        <v>0.12</v>
      </c>
      <c r="E118" s="12">
        <f t="shared" si="13"/>
        <v>5.88</v>
      </c>
      <c r="F118" s="19">
        <f t="shared" si="14"/>
        <v>3.83</v>
      </c>
      <c r="G118" s="22">
        <f t="shared" si="15"/>
        <v>1.8682926829268294</v>
      </c>
      <c r="H118" s="13" t="s">
        <v>176</v>
      </c>
    </row>
    <row r="119" spans="1:8" ht="19.5" customHeight="1">
      <c r="A119" s="6" t="s">
        <v>32</v>
      </c>
      <c r="B119" s="24">
        <v>0.34</v>
      </c>
      <c r="C119" s="7">
        <v>0.7</v>
      </c>
      <c r="D119" s="7">
        <f t="shared" si="12"/>
        <v>1.3999999999999999E-2</v>
      </c>
      <c r="E119" s="8">
        <f t="shared" si="13"/>
        <v>0.68599999999999994</v>
      </c>
      <c r="F119" s="18">
        <f t="shared" si="14"/>
        <v>0.34599999999999992</v>
      </c>
      <c r="G119" s="21">
        <f t="shared" si="15"/>
        <v>1.0176470588235291</v>
      </c>
      <c r="H119" s="9" t="s">
        <v>177</v>
      </c>
    </row>
    <row r="120" spans="1:8" ht="19.5" customHeight="1">
      <c r="A120" s="10" t="s">
        <v>46</v>
      </c>
      <c r="B120" s="25">
        <v>13.01</v>
      </c>
      <c r="C120" s="11">
        <v>16</v>
      </c>
      <c r="D120" s="11">
        <f t="shared" si="12"/>
        <v>0.32</v>
      </c>
      <c r="E120" s="12">
        <f t="shared" si="13"/>
        <v>15.68</v>
      </c>
      <c r="F120" s="19">
        <f t="shared" si="14"/>
        <v>2.67</v>
      </c>
      <c r="G120" s="22">
        <f t="shared" si="15"/>
        <v>0.20522674865488086</v>
      </c>
      <c r="H120" s="13" t="s">
        <v>178</v>
      </c>
    </row>
    <row r="121" spans="1:8" ht="19.5" customHeight="1">
      <c r="A121" s="6" t="s">
        <v>140</v>
      </c>
      <c r="B121" s="24">
        <v>8.58</v>
      </c>
      <c r="C121" s="7">
        <v>22.5</v>
      </c>
      <c r="D121" s="7">
        <f t="shared" si="12"/>
        <v>0.45</v>
      </c>
      <c r="E121" s="8">
        <f t="shared" si="13"/>
        <v>22.05</v>
      </c>
      <c r="F121" s="18">
        <f t="shared" si="14"/>
        <v>13.47</v>
      </c>
      <c r="G121" s="21">
        <f t="shared" si="15"/>
        <v>1.56993006993007</v>
      </c>
      <c r="H121" s="9" t="s">
        <v>179</v>
      </c>
    </row>
    <row r="122" spans="1:8" ht="19.5" customHeight="1">
      <c r="A122" s="10" t="s">
        <v>115</v>
      </c>
      <c r="B122" s="25">
        <v>1.39</v>
      </c>
      <c r="C122" s="11">
        <v>3.2</v>
      </c>
      <c r="D122" s="11">
        <f t="shared" si="12"/>
        <v>6.4000000000000001E-2</v>
      </c>
      <c r="E122" s="12">
        <f t="shared" si="13"/>
        <v>3.1360000000000001</v>
      </c>
      <c r="F122" s="19">
        <f t="shared" si="14"/>
        <v>1.7460000000000002</v>
      </c>
      <c r="G122" s="22">
        <f t="shared" si="15"/>
        <v>1.2561151079136692</v>
      </c>
      <c r="H122" s="13" t="s">
        <v>180</v>
      </c>
    </row>
    <row r="123" spans="1:8" ht="19.5" customHeight="1">
      <c r="A123" s="6" t="s">
        <v>42</v>
      </c>
      <c r="B123" s="24">
        <v>0.25</v>
      </c>
      <c r="C123" s="7">
        <v>0.7</v>
      </c>
      <c r="D123" s="7">
        <f t="shared" si="12"/>
        <v>1.3999999999999999E-2</v>
      </c>
      <c r="E123" s="8">
        <f t="shared" si="13"/>
        <v>0.68599999999999994</v>
      </c>
      <c r="F123" s="18">
        <f t="shared" si="14"/>
        <v>0.43599999999999994</v>
      </c>
      <c r="G123" s="21">
        <f t="shared" si="15"/>
        <v>1.7439999999999998</v>
      </c>
      <c r="H123" s="9" t="s">
        <v>181</v>
      </c>
    </row>
    <row r="124" spans="1:8" ht="19.5" customHeight="1">
      <c r="A124" s="10" t="s">
        <v>58</v>
      </c>
      <c r="B124" s="25">
        <v>0.28000000000000003</v>
      </c>
      <c r="C124" s="11">
        <v>0.7</v>
      </c>
      <c r="D124" s="11">
        <f t="shared" si="12"/>
        <v>1.3999999999999999E-2</v>
      </c>
      <c r="E124" s="12">
        <f t="shared" si="13"/>
        <v>0.68599999999999994</v>
      </c>
      <c r="F124" s="19">
        <f t="shared" si="14"/>
        <v>0.40599999999999992</v>
      </c>
      <c r="G124" s="22">
        <f t="shared" si="15"/>
        <v>1.4499999999999995</v>
      </c>
      <c r="H124" s="13" t="s">
        <v>182</v>
      </c>
    </row>
    <row r="125" spans="1:8" ht="19.5" customHeight="1">
      <c r="A125" s="6" t="s">
        <v>20</v>
      </c>
      <c r="B125" s="24">
        <v>0.28000000000000003</v>
      </c>
      <c r="C125" s="7">
        <v>0.7</v>
      </c>
      <c r="D125" s="7">
        <f t="shared" si="12"/>
        <v>1.3999999999999999E-2</v>
      </c>
      <c r="E125" s="8">
        <f t="shared" si="13"/>
        <v>0.68599999999999994</v>
      </c>
      <c r="F125" s="18">
        <f t="shared" si="14"/>
        <v>0.40599999999999992</v>
      </c>
      <c r="G125" s="21">
        <f t="shared" si="15"/>
        <v>1.4499999999999995</v>
      </c>
      <c r="H125" s="9" t="s">
        <v>183</v>
      </c>
    </row>
    <row r="126" spans="1:8" ht="19.5" customHeight="1">
      <c r="A126" s="10" t="s">
        <v>184</v>
      </c>
      <c r="B126" s="25">
        <v>0.51</v>
      </c>
      <c r="C126" s="11">
        <v>3.62</v>
      </c>
      <c r="D126" s="11">
        <f t="shared" si="12"/>
        <v>7.2400000000000006E-2</v>
      </c>
      <c r="E126" s="12">
        <f t="shared" si="13"/>
        <v>3.5476000000000001</v>
      </c>
      <c r="F126" s="19">
        <f t="shared" si="14"/>
        <v>3.0376000000000003</v>
      </c>
      <c r="G126" s="22">
        <f t="shared" si="15"/>
        <v>5.9560784313725499</v>
      </c>
      <c r="H126" s="13" t="s">
        <v>185</v>
      </c>
    </row>
    <row r="127" spans="1:8" ht="19.5" customHeight="1">
      <c r="A127" s="6" t="s">
        <v>186</v>
      </c>
      <c r="B127" s="24">
        <v>0.03</v>
      </c>
      <c r="C127" s="7">
        <v>1</v>
      </c>
      <c r="D127" s="7">
        <f t="shared" si="12"/>
        <v>0.02</v>
      </c>
      <c r="E127" s="8">
        <f t="shared" si="13"/>
        <v>0.98</v>
      </c>
      <c r="F127" s="18">
        <f t="shared" si="14"/>
        <v>0.95</v>
      </c>
      <c r="G127" s="21">
        <f t="shared" si="15"/>
        <v>31.666666666666668</v>
      </c>
      <c r="H127" s="9" t="s">
        <v>187</v>
      </c>
    </row>
    <row r="128" spans="1:8" ht="19.5" customHeight="1">
      <c r="A128" s="10" t="s">
        <v>32</v>
      </c>
      <c r="B128" s="25">
        <v>0.48</v>
      </c>
      <c r="C128" s="11">
        <v>2.5</v>
      </c>
      <c r="D128" s="11">
        <f t="shared" si="12"/>
        <v>0.05</v>
      </c>
      <c r="E128" s="12">
        <f t="shared" si="13"/>
        <v>2.4500000000000002</v>
      </c>
      <c r="F128" s="19">
        <f t="shared" si="14"/>
        <v>1.9700000000000002</v>
      </c>
      <c r="G128" s="22">
        <f t="shared" si="15"/>
        <v>4.104166666666667</v>
      </c>
      <c r="H128" s="13" t="s">
        <v>188</v>
      </c>
    </row>
    <row r="129" spans="1:8" ht="19.5" customHeight="1">
      <c r="A129" s="6" t="s">
        <v>189</v>
      </c>
      <c r="B129" s="24">
        <v>31.4</v>
      </c>
      <c r="C129" s="7">
        <v>47.99</v>
      </c>
      <c r="D129" s="7">
        <f t="shared" si="12"/>
        <v>0.9598000000000001</v>
      </c>
      <c r="E129" s="8">
        <f t="shared" si="13"/>
        <v>47.030200000000001</v>
      </c>
      <c r="F129" s="18">
        <f t="shared" si="14"/>
        <v>15.630200000000002</v>
      </c>
      <c r="G129" s="21">
        <f t="shared" si="15"/>
        <v>0.49777707006369437</v>
      </c>
      <c r="H129" s="9" t="s">
        <v>190</v>
      </c>
    </row>
    <row r="130" spans="1:8" ht="19.5" customHeight="1">
      <c r="A130" s="10" t="s">
        <v>191</v>
      </c>
      <c r="B130" s="25">
        <v>45</v>
      </c>
      <c r="C130" s="11">
        <v>56.6</v>
      </c>
      <c r="D130" s="11">
        <f t="shared" si="12"/>
        <v>1.1320000000000001</v>
      </c>
      <c r="E130" s="12">
        <f t="shared" si="13"/>
        <v>55.468000000000004</v>
      </c>
      <c r="F130" s="19">
        <f t="shared" si="14"/>
        <v>10.468000000000004</v>
      </c>
      <c r="G130" s="22">
        <f t="shared" si="15"/>
        <v>0.23262222222222231</v>
      </c>
      <c r="H130" s="13" t="s">
        <v>192</v>
      </c>
    </row>
    <row r="131" spans="1:8" ht="19.5" customHeight="1">
      <c r="A131" s="6" t="s">
        <v>193</v>
      </c>
      <c r="B131" s="24">
        <v>0.56999999999999995</v>
      </c>
      <c r="C131" s="7">
        <v>3.3</v>
      </c>
      <c r="D131" s="7">
        <f t="shared" ref="D131:D147" si="16">C131*$B$1</f>
        <v>6.6000000000000003E-2</v>
      </c>
      <c r="E131" s="8">
        <f t="shared" ref="E131:E147" si="17">C131-D131</f>
        <v>3.234</v>
      </c>
      <c r="F131" s="18">
        <f t="shared" ref="F131:F147" si="18">E131-B131</f>
        <v>2.6640000000000001</v>
      </c>
      <c r="G131" s="21">
        <f t="shared" ref="G131:G147" si="19">IF(B131=0,"",F131/B131)</f>
        <v>4.6736842105263161</v>
      </c>
      <c r="H131" s="9" t="s">
        <v>194</v>
      </c>
    </row>
    <row r="132" spans="1:8" ht="19.5" customHeight="1">
      <c r="A132" s="10" t="s">
        <v>193</v>
      </c>
      <c r="B132" s="25">
        <v>0.12</v>
      </c>
      <c r="C132" s="11">
        <v>2.2000000000000002</v>
      </c>
      <c r="D132" s="11">
        <f t="shared" si="16"/>
        <v>4.4000000000000004E-2</v>
      </c>
      <c r="E132" s="12">
        <f t="shared" si="17"/>
        <v>2.1560000000000001</v>
      </c>
      <c r="F132" s="19">
        <f t="shared" si="18"/>
        <v>2.036</v>
      </c>
      <c r="G132" s="22">
        <f t="shared" si="19"/>
        <v>16.966666666666669</v>
      </c>
      <c r="H132" s="13" t="s">
        <v>195</v>
      </c>
    </row>
    <row r="133" spans="1:8" ht="19.5" customHeight="1">
      <c r="A133" s="6" t="s">
        <v>140</v>
      </c>
      <c r="B133" s="24">
        <v>18</v>
      </c>
      <c r="C133" s="7">
        <v>21</v>
      </c>
      <c r="D133" s="7">
        <f t="shared" si="16"/>
        <v>0.42</v>
      </c>
      <c r="E133" s="8">
        <f t="shared" si="17"/>
        <v>20.58</v>
      </c>
      <c r="F133" s="18">
        <f t="shared" si="18"/>
        <v>2.5799999999999983</v>
      </c>
      <c r="G133" s="21">
        <f t="shared" si="19"/>
        <v>0.14333333333333323</v>
      </c>
      <c r="H133" s="9" t="s">
        <v>196</v>
      </c>
    </row>
    <row r="134" spans="1:8" ht="19.5" customHeight="1">
      <c r="A134" s="10" t="s">
        <v>140</v>
      </c>
      <c r="B134" s="25">
        <v>7.69</v>
      </c>
      <c r="C134" s="11">
        <v>21</v>
      </c>
      <c r="D134" s="11">
        <f t="shared" si="16"/>
        <v>0.42</v>
      </c>
      <c r="E134" s="12">
        <f t="shared" si="17"/>
        <v>20.58</v>
      </c>
      <c r="F134" s="19">
        <f t="shared" si="18"/>
        <v>12.889999999999997</v>
      </c>
      <c r="G134" s="22">
        <f t="shared" si="19"/>
        <v>1.6762028608582571</v>
      </c>
      <c r="H134" s="13" t="s">
        <v>197</v>
      </c>
    </row>
    <row r="135" spans="1:8" ht="19.5" customHeight="1">
      <c r="A135" s="6" t="s">
        <v>95</v>
      </c>
      <c r="B135" s="24">
        <v>13.3</v>
      </c>
      <c r="C135" s="7">
        <v>15.5</v>
      </c>
      <c r="D135" s="7">
        <f t="shared" si="16"/>
        <v>0.31</v>
      </c>
      <c r="E135" s="8">
        <f t="shared" si="17"/>
        <v>15.19</v>
      </c>
      <c r="F135" s="18">
        <f t="shared" si="18"/>
        <v>1.8899999999999988</v>
      </c>
      <c r="G135" s="21">
        <f t="shared" si="19"/>
        <v>0.14210526315789465</v>
      </c>
      <c r="H135" s="9" t="s">
        <v>198</v>
      </c>
    </row>
    <row r="136" spans="1:8" ht="19.5" customHeight="1">
      <c r="A136" s="10" t="s">
        <v>12</v>
      </c>
      <c r="B136" s="25">
        <v>0.06</v>
      </c>
      <c r="C136" s="11">
        <v>0.8</v>
      </c>
      <c r="D136" s="11">
        <f t="shared" si="16"/>
        <v>1.6E-2</v>
      </c>
      <c r="E136" s="12">
        <f t="shared" si="17"/>
        <v>0.78400000000000003</v>
      </c>
      <c r="F136" s="19">
        <f t="shared" si="18"/>
        <v>0.72399999999999998</v>
      </c>
      <c r="G136" s="22">
        <f t="shared" si="19"/>
        <v>12.066666666666666</v>
      </c>
      <c r="H136" s="13" t="s">
        <v>199</v>
      </c>
    </row>
    <row r="137" spans="1:8" ht="19.5" customHeight="1">
      <c r="A137" s="6" t="s">
        <v>14</v>
      </c>
      <c r="B137" s="24">
        <v>0.17</v>
      </c>
      <c r="C137" s="7">
        <v>0.7</v>
      </c>
      <c r="D137" s="7">
        <f t="shared" si="16"/>
        <v>1.3999999999999999E-2</v>
      </c>
      <c r="E137" s="8">
        <f t="shared" si="17"/>
        <v>0.68599999999999994</v>
      </c>
      <c r="F137" s="18">
        <f t="shared" si="18"/>
        <v>0.5159999999999999</v>
      </c>
      <c r="G137" s="21">
        <f t="shared" si="19"/>
        <v>3.0352941176470583</v>
      </c>
      <c r="H137" s="9" t="s">
        <v>200</v>
      </c>
    </row>
    <row r="138" spans="1:8" ht="19.5" customHeight="1">
      <c r="A138" s="10" t="s">
        <v>140</v>
      </c>
      <c r="B138" s="25">
        <v>7.28</v>
      </c>
      <c r="C138" s="11">
        <v>22</v>
      </c>
      <c r="D138" s="11">
        <f t="shared" si="16"/>
        <v>0.44</v>
      </c>
      <c r="E138" s="12">
        <f t="shared" si="17"/>
        <v>21.56</v>
      </c>
      <c r="F138" s="19">
        <f t="shared" si="18"/>
        <v>14.279999999999998</v>
      </c>
      <c r="G138" s="22">
        <f t="shared" si="19"/>
        <v>1.9615384615384612</v>
      </c>
      <c r="H138" s="13" t="s">
        <v>201</v>
      </c>
    </row>
    <row r="139" spans="1:8" ht="19.5" customHeight="1">
      <c r="A139" s="6" t="s">
        <v>22</v>
      </c>
      <c r="B139" s="24">
        <v>0.03</v>
      </c>
      <c r="C139" s="7">
        <v>18</v>
      </c>
      <c r="D139" s="7">
        <f t="shared" si="16"/>
        <v>0.36</v>
      </c>
      <c r="E139" s="8">
        <f t="shared" si="17"/>
        <v>17.64</v>
      </c>
      <c r="F139" s="18">
        <f t="shared" si="18"/>
        <v>17.61</v>
      </c>
      <c r="G139" s="21">
        <f t="shared" si="19"/>
        <v>587</v>
      </c>
      <c r="H139" s="9" t="s">
        <v>202</v>
      </c>
    </row>
    <row r="140" spans="1:8" ht="19.5" customHeight="1">
      <c r="A140" s="10" t="s">
        <v>203</v>
      </c>
      <c r="B140" s="25">
        <v>25</v>
      </c>
      <c r="C140" s="11">
        <v>54.45</v>
      </c>
      <c r="D140" s="11">
        <f t="shared" si="16"/>
        <v>1.0890000000000002</v>
      </c>
      <c r="E140" s="12">
        <f t="shared" si="17"/>
        <v>53.361000000000004</v>
      </c>
      <c r="F140" s="19">
        <f t="shared" si="18"/>
        <v>28.361000000000004</v>
      </c>
      <c r="G140" s="22">
        <f t="shared" si="19"/>
        <v>1.1344400000000001</v>
      </c>
      <c r="H140" s="13" t="s">
        <v>204</v>
      </c>
    </row>
    <row r="141" spans="1:8" ht="19.5" customHeight="1">
      <c r="A141" s="6" t="s">
        <v>32</v>
      </c>
      <c r="B141" s="24">
        <v>1</v>
      </c>
      <c r="C141" s="7">
        <v>1.4</v>
      </c>
      <c r="D141" s="7">
        <f t="shared" si="16"/>
        <v>2.7999999999999997E-2</v>
      </c>
      <c r="E141" s="8">
        <f t="shared" si="17"/>
        <v>1.3719999999999999</v>
      </c>
      <c r="F141" s="18">
        <f t="shared" si="18"/>
        <v>0.37199999999999989</v>
      </c>
      <c r="G141" s="21">
        <f t="shared" si="19"/>
        <v>0.37199999999999989</v>
      </c>
      <c r="H141" s="9" t="s">
        <v>205</v>
      </c>
    </row>
    <row r="142" spans="1:8" ht="19.5" customHeight="1">
      <c r="A142" s="10" t="s">
        <v>32</v>
      </c>
      <c r="B142" s="25">
        <v>3.56</v>
      </c>
      <c r="C142" s="11">
        <v>10</v>
      </c>
      <c r="D142" s="11">
        <f t="shared" si="16"/>
        <v>0.2</v>
      </c>
      <c r="E142" s="12">
        <f t="shared" si="17"/>
        <v>9.8000000000000007</v>
      </c>
      <c r="F142" s="19">
        <f t="shared" si="18"/>
        <v>6.24</v>
      </c>
      <c r="G142" s="22">
        <f t="shared" si="19"/>
        <v>1.752808988764045</v>
      </c>
      <c r="H142" s="13" t="s">
        <v>206</v>
      </c>
    </row>
    <row r="143" spans="1:8" ht="19.5" customHeight="1">
      <c r="A143" s="6" t="s">
        <v>207</v>
      </c>
      <c r="B143" s="24">
        <v>0.45</v>
      </c>
      <c r="C143" s="7">
        <v>3.2</v>
      </c>
      <c r="D143" s="7">
        <f t="shared" si="16"/>
        <v>6.4000000000000001E-2</v>
      </c>
      <c r="E143" s="8">
        <f t="shared" si="17"/>
        <v>3.1360000000000001</v>
      </c>
      <c r="F143" s="18">
        <f t="shared" si="18"/>
        <v>2.6859999999999999</v>
      </c>
      <c r="G143" s="21">
        <f t="shared" si="19"/>
        <v>5.9688888888888885</v>
      </c>
      <c r="H143" s="9" t="s">
        <v>208</v>
      </c>
    </row>
    <row r="144" spans="1:8" ht="19.5" customHeight="1">
      <c r="A144" s="10" t="s">
        <v>209</v>
      </c>
      <c r="B144" s="25">
        <v>1.96</v>
      </c>
      <c r="C144" s="11">
        <v>9.4</v>
      </c>
      <c r="D144" s="11">
        <f t="shared" si="16"/>
        <v>0.188</v>
      </c>
      <c r="E144" s="12">
        <f t="shared" si="17"/>
        <v>9.2119999999999997</v>
      </c>
      <c r="F144" s="19">
        <f t="shared" si="18"/>
        <v>7.2519999999999998</v>
      </c>
      <c r="G144" s="22">
        <f t="shared" si="19"/>
        <v>3.6999999999999997</v>
      </c>
      <c r="H144" s="13" t="s">
        <v>210</v>
      </c>
    </row>
    <row r="145" spans="1:18" ht="19.5" customHeight="1">
      <c r="A145" s="6" t="s">
        <v>62</v>
      </c>
      <c r="B145" s="24">
        <v>0.87</v>
      </c>
      <c r="C145" s="7">
        <v>8</v>
      </c>
      <c r="D145" s="7">
        <f t="shared" si="16"/>
        <v>0.16</v>
      </c>
      <c r="E145" s="8">
        <f t="shared" si="17"/>
        <v>7.84</v>
      </c>
      <c r="F145" s="18">
        <f t="shared" si="18"/>
        <v>6.97</v>
      </c>
      <c r="G145" s="21">
        <f t="shared" si="19"/>
        <v>8.0114942528735629</v>
      </c>
      <c r="H145" s="17" t="s">
        <v>211</v>
      </c>
    </row>
    <row r="146" spans="1:18" ht="19.5" customHeight="1">
      <c r="A146" s="10" t="s">
        <v>212</v>
      </c>
      <c r="B146" s="25">
        <v>1.5</v>
      </c>
      <c r="C146" s="11">
        <v>3</v>
      </c>
      <c r="D146" s="11">
        <f t="shared" si="16"/>
        <v>0.06</v>
      </c>
      <c r="E146" s="12">
        <f t="shared" si="17"/>
        <v>2.94</v>
      </c>
      <c r="F146" s="19">
        <f t="shared" si="18"/>
        <v>1.44</v>
      </c>
      <c r="G146" s="22">
        <f t="shared" si="19"/>
        <v>0.96</v>
      </c>
      <c r="H146" s="15" t="s">
        <v>213</v>
      </c>
      <c r="M146" s="16" t="s">
        <v>214</v>
      </c>
      <c r="R146" s="16" t="s">
        <v>215</v>
      </c>
    </row>
    <row r="147" spans="1:18" ht="19.5" customHeight="1">
      <c r="A147" s="6" t="s">
        <v>104</v>
      </c>
      <c r="B147" s="24">
        <v>3.99</v>
      </c>
      <c r="C147" s="7">
        <v>7.6</v>
      </c>
      <c r="D147" s="7">
        <f t="shared" si="16"/>
        <v>0.152</v>
      </c>
      <c r="E147" s="8">
        <f t="shared" si="17"/>
        <v>7.4479999999999995</v>
      </c>
      <c r="F147" s="18">
        <f t="shared" si="18"/>
        <v>3.4579999999999993</v>
      </c>
      <c r="G147" s="21">
        <f t="shared" si="19"/>
        <v>0.86666666666666647</v>
      </c>
      <c r="H147" s="17" t="s">
        <v>216</v>
      </c>
    </row>
    <row r="148" spans="1:18" ht="19.5" customHeight="1">
      <c r="A148" s="6" t="s">
        <v>60</v>
      </c>
      <c r="B148" s="26">
        <v>4.97</v>
      </c>
      <c r="C148" s="33">
        <v>12</v>
      </c>
      <c r="D148" s="7">
        <f t="shared" ref="D148:D211" si="20">IF(C148="","",C148*$B$1)</f>
        <v>0.24</v>
      </c>
      <c r="E148" s="8">
        <f t="shared" ref="E148:E211" si="21">IF(C148="","",C148-D148)</f>
        <v>11.76</v>
      </c>
      <c r="F148" s="18">
        <f t="shared" ref="F148:F211" si="22">IF(OR(B148="",C148=""),"",E148-B148)</f>
        <v>6.79</v>
      </c>
      <c r="G148" s="21">
        <f t="shared" ref="G148:G211" si="23">IF(OR(B148="",B148=0),"",F148/B148)</f>
        <v>1.3661971830985917</v>
      </c>
      <c r="H148" s="17" t="s">
        <v>217</v>
      </c>
    </row>
    <row r="149" spans="1:18" ht="19.5" customHeight="1">
      <c r="A149" s="10" t="s">
        <v>32</v>
      </c>
      <c r="B149" s="27">
        <v>0.41</v>
      </c>
      <c r="C149" s="34">
        <v>2.75</v>
      </c>
      <c r="D149" s="11">
        <f t="shared" si="20"/>
        <v>5.5E-2</v>
      </c>
      <c r="E149" s="12">
        <f t="shared" si="21"/>
        <v>2.6949999999999998</v>
      </c>
      <c r="F149" s="19">
        <f t="shared" si="22"/>
        <v>2.2849999999999997</v>
      </c>
      <c r="G149" s="22">
        <f t="shared" si="23"/>
        <v>5.5731707317073162</v>
      </c>
      <c r="H149" s="15" t="s">
        <v>218</v>
      </c>
    </row>
    <row r="150" spans="1:18" ht="19.5" customHeight="1">
      <c r="A150" s="6" t="s">
        <v>140</v>
      </c>
      <c r="B150" s="26">
        <v>19</v>
      </c>
      <c r="C150" s="33">
        <v>20.8</v>
      </c>
      <c r="D150" s="7">
        <f t="shared" si="20"/>
        <v>0.41600000000000004</v>
      </c>
      <c r="E150" s="8">
        <f t="shared" si="21"/>
        <v>20.384</v>
      </c>
      <c r="F150" s="18">
        <f t="shared" si="22"/>
        <v>1.3840000000000003</v>
      </c>
      <c r="G150" s="21">
        <f t="shared" si="23"/>
        <v>7.2842105263157916E-2</v>
      </c>
      <c r="H150" s="17" t="s">
        <v>219</v>
      </c>
    </row>
    <row r="151" spans="1:18" ht="19.5" customHeight="1">
      <c r="A151" s="10" t="s">
        <v>112</v>
      </c>
      <c r="B151" s="27">
        <v>0.17</v>
      </c>
      <c r="C151" s="34">
        <v>4.25</v>
      </c>
      <c r="D151" s="11">
        <f t="shared" si="20"/>
        <v>8.5000000000000006E-2</v>
      </c>
      <c r="E151" s="12">
        <f t="shared" si="21"/>
        <v>4.165</v>
      </c>
      <c r="F151" s="19">
        <f t="shared" si="22"/>
        <v>3.9950000000000001</v>
      </c>
      <c r="G151" s="22">
        <f t="shared" si="23"/>
        <v>23.5</v>
      </c>
      <c r="H151" s="15" t="s">
        <v>220</v>
      </c>
    </row>
    <row r="152" spans="1:18" ht="19.5" customHeight="1">
      <c r="A152" s="6" t="s">
        <v>184</v>
      </c>
      <c r="B152" s="26">
        <v>1.5</v>
      </c>
      <c r="C152" s="33">
        <v>2.65</v>
      </c>
      <c r="D152" s="7">
        <f t="shared" si="20"/>
        <v>5.2999999999999999E-2</v>
      </c>
      <c r="E152" s="8">
        <f t="shared" si="21"/>
        <v>2.597</v>
      </c>
      <c r="F152" s="18">
        <f t="shared" si="22"/>
        <v>1.097</v>
      </c>
      <c r="G152" s="21">
        <f t="shared" si="23"/>
        <v>0.73133333333333328</v>
      </c>
      <c r="H152" s="17" t="s">
        <v>221</v>
      </c>
    </row>
    <row r="153" spans="1:18" ht="19.5" customHeight="1">
      <c r="A153" s="10" t="s">
        <v>24</v>
      </c>
      <c r="B153" s="27">
        <v>0.53</v>
      </c>
      <c r="C153" s="34">
        <v>18.2</v>
      </c>
      <c r="D153" s="11">
        <f t="shared" si="20"/>
        <v>0.36399999999999999</v>
      </c>
      <c r="E153" s="12">
        <f t="shared" si="21"/>
        <v>17.835999999999999</v>
      </c>
      <c r="F153" s="19">
        <f t="shared" si="22"/>
        <v>17.305999999999997</v>
      </c>
      <c r="G153" s="22">
        <f t="shared" si="23"/>
        <v>32.652830188679239</v>
      </c>
      <c r="H153" s="15" t="s">
        <v>222</v>
      </c>
    </row>
    <row r="154" spans="1:18" ht="19.5" customHeight="1">
      <c r="A154" s="6" t="s">
        <v>16</v>
      </c>
      <c r="B154" s="26">
        <v>0.56000000000000005</v>
      </c>
      <c r="C154" s="33">
        <v>2.65</v>
      </c>
      <c r="D154" s="7">
        <f t="shared" si="20"/>
        <v>5.2999999999999999E-2</v>
      </c>
      <c r="E154" s="8">
        <f t="shared" si="21"/>
        <v>2.597</v>
      </c>
      <c r="F154" s="18">
        <f t="shared" si="22"/>
        <v>2.0369999999999999</v>
      </c>
      <c r="G154" s="21">
        <f t="shared" si="23"/>
        <v>3.6374999999999997</v>
      </c>
      <c r="H154" s="17" t="s">
        <v>223</v>
      </c>
    </row>
    <row r="155" spans="1:18" ht="19.5" customHeight="1">
      <c r="A155" s="10" t="s">
        <v>72</v>
      </c>
      <c r="B155" s="27">
        <v>5</v>
      </c>
      <c r="C155" s="34">
        <v>14.5</v>
      </c>
      <c r="D155" s="11">
        <f t="shared" si="20"/>
        <v>0.28999999999999998</v>
      </c>
      <c r="E155" s="12">
        <f t="shared" si="21"/>
        <v>14.21</v>
      </c>
      <c r="F155" s="19">
        <f t="shared" si="22"/>
        <v>9.2100000000000009</v>
      </c>
      <c r="G155" s="22">
        <f t="shared" si="23"/>
        <v>1.8420000000000001</v>
      </c>
      <c r="H155" s="15" t="s">
        <v>224</v>
      </c>
    </row>
    <row r="156" spans="1:18" ht="19.5" customHeight="1">
      <c r="A156" s="6" t="s">
        <v>16</v>
      </c>
      <c r="B156" s="26">
        <v>0.61</v>
      </c>
      <c r="C156" s="33">
        <v>3.95</v>
      </c>
      <c r="D156" s="7">
        <f t="shared" si="20"/>
        <v>7.9000000000000001E-2</v>
      </c>
      <c r="E156" s="8">
        <f t="shared" si="21"/>
        <v>3.871</v>
      </c>
      <c r="F156" s="18">
        <f t="shared" si="22"/>
        <v>3.2610000000000001</v>
      </c>
      <c r="G156" s="21">
        <f t="shared" si="23"/>
        <v>5.3459016393442624</v>
      </c>
      <c r="H156" s="17" t="s">
        <v>225</v>
      </c>
    </row>
    <row r="157" spans="1:18" ht="19.5" customHeight="1">
      <c r="A157" s="10" t="s">
        <v>42</v>
      </c>
      <c r="B157" s="27">
        <v>0.53</v>
      </c>
      <c r="C157" s="34">
        <v>4.55</v>
      </c>
      <c r="D157" s="11">
        <f t="shared" si="20"/>
        <v>9.0999999999999998E-2</v>
      </c>
      <c r="E157" s="12">
        <f t="shared" si="21"/>
        <v>4.4589999999999996</v>
      </c>
      <c r="F157" s="19">
        <f t="shared" si="22"/>
        <v>3.9289999999999994</v>
      </c>
      <c r="G157" s="22">
        <f t="shared" si="23"/>
        <v>7.4132075471698098</v>
      </c>
      <c r="H157" s="15" t="s">
        <v>226</v>
      </c>
    </row>
    <row r="158" spans="1:18" ht="19.5" customHeight="1">
      <c r="A158" s="6" t="s">
        <v>66</v>
      </c>
      <c r="B158" s="26">
        <v>0.56999999999999995</v>
      </c>
      <c r="C158" s="33">
        <v>3.74</v>
      </c>
      <c r="D158" s="7">
        <f t="shared" si="20"/>
        <v>7.4800000000000005E-2</v>
      </c>
      <c r="E158" s="8">
        <f t="shared" si="21"/>
        <v>3.6652</v>
      </c>
      <c r="F158" s="18">
        <f t="shared" si="22"/>
        <v>3.0952000000000002</v>
      </c>
      <c r="G158" s="21">
        <f t="shared" si="23"/>
        <v>5.4301754385964918</v>
      </c>
      <c r="H158" s="17" t="s">
        <v>227</v>
      </c>
    </row>
    <row r="159" spans="1:18" ht="19.5" customHeight="1">
      <c r="A159" s="10" t="s">
        <v>42</v>
      </c>
      <c r="B159" s="27">
        <v>0.57999999999999996</v>
      </c>
      <c r="C159" s="34">
        <v>7</v>
      </c>
      <c r="D159" s="11">
        <f t="shared" si="20"/>
        <v>0.14000000000000001</v>
      </c>
      <c r="E159" s="12">
        <f t="shared" si="21"/>
        <v>6.86</v>
      </c>
      <c r="F159" s="19">
        <f t="shared" si="22"/>
        <v>6.28</v>
      </c>
      <c r="G159" s="22">
        <f t="shared" si="23"/>
        <v>10.827586206896553</v>
      </c>
      <c r="H159" s="15" t="s">
        <v>228</v>
      </c>
    </row>
    <row r="160" spans="1:18" ht="19.5" customHeight="1">
      <c r="A160" s="6" t="s">
        <v>44</v>
      </c>
      <c r="B160" s="26">
        <v>1.04</v>
      </c>
      <c r="C160" s="33">
        <v>2.4</v>
      </c>
      <c r="D160" s="7">
        <f t="shared" si="20"/>
        <v>4.8000000000000001E-2</v>
      </c>
      <c r="E160" s="8">
        <f t="shared" si="21"/>
        <v>2.3519999999999999</v>
      </c>
      <c r="F160" s="18">
        <f t="shared" si="22"/>
        <v>1.3119999999999998</v>
      </c>
      <c r="G160" s="21">
        <f t="shared" si="23"/>
        <v>1.2615384615384613</v>
      </c>
      <c r="H160" s="17" t="s">
        <v>229</v>
      </c>
    </row>
    <row r="161" spans="1:17" ht="19.5" customHeight="1">
      <c r="A161" s="10" t="s">
        <v>140</v>
      </c>
      <c r="B161" s="27">
        <v>19</v>
      </c>
      <c r="C161" s="34">
        <v>21.5</v>
      </c>
      <c r="D161" s="11">
        <f t="shared" si="20"/>
        <v>0.43</v>
      </c>
      <c r="E161" s="12">
        <f t="shared" si="21"/>
        <v>21.07</v>
      </c>
      <c r="F161" s="19">
        <f t="shared" si="22"/>
        <v>2.0700000000000003</v>
      </c>
      <c r="G161" s="22">
        <f t="shared" si="23"/>
        <v>0.10894736842105264</v>
      </c>
      <c r="H161" s="15" t="s">
        <v>230</v>
      </c>
    </row>
    <row r="162" spans="1:17" ht="19.5" customHeight="1">
      <c r="A162" s="6" t="s">
        <v>231</v>
      </c>
      <c r="B162" s="26">
        <v>4.78</v>
      </c>
      <c r="C162" s="33">
        <v>7.2</v>
      </c>
      <c r="D162" s="7">
        <f t="shared" si="20"/>
        <v>0.14400000000000002</v>
      </c>
      <c r="E162" s="8">
        <f t="shared" si="21"/>
        <v>7.056</v>
      </c>
      <c r="F162" s="18">
        <f t="shared" si="22"/>
        <v>2.2759999999999998</v>
      </c>
      <c r="G162" s="21">
        <f t="shared" si="23"/>
        <v>0.47615062761506272</v>
      </c>
      <c r="H162" s="17" t="s">
        <v>232</v>
      </c>
    </row>
    <row r="163" spans="1:17" ht="19.5" customHeight="1">
      <c r="A163" s="10" t="s">
        <v>233</v>
      </c>
      <c r="B163" s="27">
        <v>0.03</v>
      </c>
      <c r="C163" s="34">
        <v>2</v>
      </c>
      <c r="D163" s="11">
        <f t="shared" si="20"/>
        <v>0.04</v>
      </c>
      <c r="E163" s="12">
        <f t="shared" si="21"/>
        <v>1.96</v>
      </c>
      <c r="F163" s="19">
        <f t="shared" si="22"/>
        <v>1.93</v>
      </c>
      <c r="G163" s="22">
        <f t="shared" si="23"/>
        <v>64.333333333333329</v>
      </c>
      <c r="H163" s="15" t="s">
        <v>234</v>
      </c>
    </row>
    <row r="164" spans="1:17" ht="19.5" customHeight="1">
      <c r="A164" s="6" t="s">
        <v>26</v>
      </c>
      <c r="B164" s="26">
        <v>1.03</v>
      </c>
      <c r="C164" s="33">
        <v>2.2000000000000002</v>
      </c>
      <c r="D164" s="7">
        <f t="shared" si="20"/>
        <v>4.4000000000000004E-2</v>
      </c>
      <c r="E164" s="8">
        <f>IF(C164="","",C164-D164)</f>
        <v>2.1560000000000001</v>
      </c>
      <c r="F164" s="18">
        <f t="shared" si="22"/>
        <v>1.1260000000000001</v>
      </c>
      <c r="G164" s="21">
        <f t="shared" si="23"/>
        <v>1.0932038834951456</v>
      </c>
      <c r="H164" s="17" t="s">
        <v>235</v>
      </c>
    </row>
    <row r="165" spans="1:17" ht="19.5" customHeight="1">
      <c r="A165" s="10" t="s">
        <v>236</v>
      </c>
      <c r="B165" s="27">
        <v>1.2</v>
      </c>
      <c r="C165" s="34">
        <v>2.5</v>
      </c>
      <c r="D165" s="11">
        <f t="shared" si="20"/>
        <v>0.05</v>
      </c>
      <c r="E165" s="12">
        <f t="shared" si="21"/>
        <v>2.4500000000000002</v>
      </c>
      <c r="F165" s="19">
        <f t="shared" si="22"/>
        <v>1.2500000000000002</v>
      </c>
      <c r="G165" s="22">
        <f t="shared" si="23"/>
        <v>1.041666666666667</v>
      </c>
      <c r="H165" s="15" t="s">
        <v>237</v>
      </c>
      <c r="L165" s="16" t="s">
        <v>238</v>
      </c>
      <c r="Q165" s="16" t="s">
        <v>239</v>
      </c>
    </row>
    <row r="166" spans="1:17" ht="19.5" customHeight="1">
      <c r="A166" s="6" t="s">
        <v>240</v>
      </c>
      <c r="B166" s="26">
        <v>93</v>
      </c>
      <c r="C166" s="33">
        <v>111</v>
      </c>
      <c r="D166" s="7">
        <f t="shared" si="20"/>
        <v>2.2200000000000002</v>
      </c>
      <c r="E166" s="8">
        <f t="shared" si="21"/>
        <v>108.78</v>
      </c>
      <c r="F166" s="18">
        <f t="shared" si="22"/>
        <v>15.780000000000001</v>
      </c>
      <c r="G166" s="21">
        <f t="shared" si="23"/>
        <v>0.16967741935483871</v>
      </c>
      <c r="H166" s="17" t="s">
        <v>241</v>
      </c>
    </row>
    <row r="167" spans="1:17" ht="19.5" customHeight="1">
      <c r="A167" s="10" t="s">
        <v>16</v>
      </c>
      <c r="B167" s="27">
        <v>1.04</v>
      </c>
      <c r="C167" s="34">
        <v>2.75</v>
      </c>
      <c r="D167" s="11">
        <f t="shared" si="20"/>
        <v>5.5E-2</v>
      </c>
      <c r="E167" s="12">
        <f t="shared" si="21"/>
        <v>2.6949999999999998</v>
      </c>
      <c r="F167" s="19">
        <f t="shared" si="22"/>
        <v>1.6549999999999998</v>
      </c>
      <c r="G167" s="22">
        <f t="shared" si="23"/>
        <v>1.5913461538461535</v>
      </c>
      <c r="H167" s="15" t="s">
        <v>242</v>
      </c>
    </row>
    <row r="168" spans="1:17" ht="19.5" customHeight="1">
      <c r="A168" s="6" t="s">
        <v>52</v>
      </c>
      <c r="B168" s="26">
        <v>0.42</v>
      </c>
      <c r="C168" s="33">
        <v>1.8</v>
      </c>
      <c r="D168" s="7">
        <f t="shared" si="20"/>
        <v>3.6000000000000004E-2</v>
      </c>
      <c r="E168" s="8">
        <f t="shared" si="21"/>
        <v>1.764</v>
      </c>
      <c r="F168" s="18">
        <f t="shared" si="22"/>
        <v>1.3440000000000001</v>
      </c>
      <c r="G168" s="21">
        <f t="shared" si="23"/>
        <v>3.2</v>
      </c>
      <c r="H168" s="17" t="s">
        <v>243</v>
      </c>
    </row>
    <row r="169" spans="1:17" ht="19.5" customHeight="1">
      <c r="A169" s="10" t="s">
        <v>74</v>
      </c>
      <c r="B169" s="27">
        <v>1.03</v>
      </c>
      <c r="C169" s="34">
        <v>7.9</v>
      </c>
      <c r="D169" s="11">
        <f t="shared" si="20"/>
        <v>0.158</v>
      </c>
      <c r="E169" s="12">
        <f t="shared" si="21"/>
        <v>7.742</v>
      </c>
      <c r="F169" s="19">
        <f t="shared" si="22"/>
        <v>6.7119999999999997</v>
      </c>
      <c r="G169" s="22">
        <f t="shared" si="23"/>
        <v>6.5165048543689315</v>
      </c>
      <c r="H169" s="15" t="s">
        <v>244</v>
      </c>
    </row>
    <row r="170" spans="1:17" ht="19.5" customHeight="1">
      <c r="A170" s="6" t="s">
        <v>44</v>
      </c>
      <c r="B170" s="26">
        <v>4.37</v>
      </c>
      <c r="C170" s="33">
        <v>14.5</v>
      </c>
      <c r="D170" s="7">
        <f t="shared" si="20"/>
        <v>0.28999999999999998</v>
      </c>
      <c r="E170" s="8">
        <f t="shared" si="21"/>
        <v>14.21</v>
      </c>
      <c r="F170" s="18">
        <f t="shared" si="22"/>
        <v>9.84</v>
      </c>
      <c r="G170" s="21">
        <f t="shared" si="23"/>
        <v>2.251716247139588</v>
      </c>
      <c r="H170" s="17" t="s">
        <v>245</v>
      </c>
    </row>
    <row r="171" spans="1:17" ht="19.5" customHeight="1">
      <c r="A171" s="10" t="s">
        <v>24</v>
      </c>
      <c r="B171" s="27">
        <v>5.95</v>
      </c>
      <c r="C171" s="34">
        <v>19</v>
      </c>
      <c r="D171" s="11">
        <f t="shared" si="20"/>
        <v>0.38</v>
      </c>
      <c r="E171" s="12">
        <f t="shared" si="21"/>
        <v>18.62</v>
      </c>
      <c r="F171" s="19">
        <f t="shared" si="22"/>
        <v>12.670000000000002</v>
      </c>
      <c r="G171" s="22">
        <f t="shared" si="23"/>
        <v>2.1294117647058828</v>
      </c>
      <c r="H171" s="15" t="s">
        <v>246</v>
      </c>
    </row>
    <row r="172" spans="1:17" ht="19.5" customHeight="1">
      <c r="A172" s="6" t="s">
        <v>66</v>
      </c>
      <c r="B172" s="26">
        <v>1</v>
      </c>
      <c r="C172" s="33">
        <v>2.2999999999999998</v>
      </c>
      <c r="D172" s="7">
        <f t="shared" si="20"/>
        <v>4.5999999999999999E-2</v>
      </c>
      <c r="E172" s="8">
        <f t="shared" si="21"/>
        <v>2.254</v>
      </c>
      <c r="F172" s="18">
        <f t="shared" si="22"/>
        <v>1.254</v>
      </c>
      <c r="G172" s="21">
        <f t="shared" si="23"/>
        <v>1.254</v>
      </c>
      <c r="H172" s="17" t="s">
        <v>247</v>
      </c>
    </row>
    <row r="173" spans="1:17" ht="19.5" customHeight="1">
      <c r="A173" s="10" t="s">
        <v>44</v>
      </c>
      <c r="B173" s="27">
        <v>9.75</v>
      </c>
      <c r="C173" s="34">
        <v>18</v>
      </c>
      <c r="D173" s="11">
        <f t="shared" si="20"/>
        <v>0.36</v>
      </c>
      <c r="E173" s="12">
        <f t="shared" si="21"/>
        <v>17.64</v>
      </c>
      <c r="F173" s="19">
        <f t="shared" si="22"/>
        <v>7.8900000000000006</v>
      </c>
      <c r="G173" s="22">
        <f t="shared" si="23"/>
        <v>0.80923076923076931</v>
      </c>
      <c r="H173" s="15" t="s">
        <v>248</v>
      </c>
    </row>
    <row r="174" spans="1:17" ht="19.5" customHeight="1">
      <c r="A174" s="6" t="s">
        <v>249</v>
      </c>
      <c r="B174" s="26">
        <v>4.37</v>
      </c>
      <c r="C174" s="33">
        <v>10.5</v>
      </c>
      <c r="D174" s="7">
        <f t="shared" si="20"/>
        <v>0.21</v>
      </c>
      <c r="E174" s="8">
        <f t="shared" si="21"/>
        <v>10.29</v>
      </c>
      <c r="F174" s="18">
        <f t="shared" si="22"/>
        <v>5.919999999999999</v>
      </c>
      <c r="G174" s="21">
        <f t="shared" si="23"/>
        <v>1.354691075514874</v>
      </c>
      <c r="H174" s="17" t="s">
        <v>250</v>
      </c>
    </row>
    <row r="175" spans="1:17" ht="19.5" customHeight="1">
      <c r="A175" s="10" t="s">
        <v>87</v>
      </c>
      <c r="B175" s="27">
        <v>12.1</v>
      </c>
      <c r="C175" s="34">
        <v>18</v>
      </c>
      <c r="D175" s="11">
        <f t="shared" si="20"/>
        <v>0.36</v>
      </c>
      <c r="E175" s="12">
        <f t="shared" si="21"/>
        <v>17.64</v>
      </c>
      <c r="F175" s="19">
        <f t="shared" si="22"/>
        <v>5.5400000000000009</v>
      </c>
      <c r="G175" s="22">
        <f t="shared" si="23"/>
        <v>0.45785123966942159</v>
      </c>
      <c r="H175" s="15" t="s">
        <v>251</v>
      </c>
    </row>
    <row r="176" spans="1:17" ht="19.5" customHeight="1">
      <c r="A176" s="6" t="s">
        <v>10</v>
      </c>
      <c r="B176" s="26">
        <v>0.28000000000000003</v>
      </c>
      <c r="C176" s="33">
        <v>3.1</v>
      </c>
      <c r="D176" s="7">
        <f>IF(C176="","",C176*$B$1)</f>
        <v>6.2000000000000006E-2</v>
      </c>
      <c r="E176" s="8">
        <f>IF(C176="","",C176-D176)</f>
        <v>3.0380000000000003</v>
      </c>
      <c r="F176" s="18">
        <f>IF(OR(B176="",C176=""),"",E176-B176)</f>
        <v>2.758</v>
      </c>
      <c r="G176" s="21">
        <f t="shared" si="23"/>
        <v>9.85</v>
      </c>
      <c r="H176" s="17" t="s">
        <v>252</v>
      </c>
    </row>
    <row r="177" spans="1:36" ht="19.5" customHeight="1">
      <c r="A177" s="10" t="s">
        <v>253</v>
      </c>
      <c r="B177" s="27">
        <v>1.72</v>
      </c>
      <c r="C177" s="34">
        <v>8</v>
      </c>
      <c r="D177" s="11">
        <f>IF(C177="","",C177*$B$1)</f>
        <v>0.16</v>
      </c>
      <c r="E177" s="12">
        <f>IF(C177="","",C177-D177)</f>
        <v>7.84</v>
      </c>
      <c r="F177" s="19">
        <f>IF(OR(B177="",C177=""),"",E177-B177)</f>
        <v>6.12</v>
      </c>
      <c r="G177" s="22">
        <f t="shared" si="23"/>
        <v>3.558139534883721</v>
      </c>
      <c r="H177" s="15" t="s">
        <v>254</v>
      </c>
    </row>
    <row r="178" spans="1:36" ht="19.5" customHeight="1">
      <c r="A178" s="6" t="s">
        <v>16</v>
      </c>
      <c r="B178" s="26">
        <v>0.56999999999999995</v>
      </c>
      <c r="C178" s="33">
        <v>3.1</v>
      </c>
      <c r="D178" s="7">
        <f t="shared" si="20"/>
        <v>6.2000000000000006E-2</v>
      </c>
      <c r="E178" s="8">
        <f t="shared" si="21"/>
        <v>3.0380000000000003</v>
      </c>
      <c r="F178" s="18">
        <f t="shared" si="22"/>
        <v>2.4680000000000004</v>
      </c>
      <c r="G178" s="21">
        <f t="shared" si="23"/>
        <v>4.3298245614035098</v>
      </c>
      <c r="H178" s="17" t="s">
        <v>255</v>
      </c>
    </row>
    <row r="179" spans="1:36" ht="19.5" customHeight="1">
      <c r="A179" s="10" t="s">
        <v>24</v>
      </c>
      <c r="B179" s="27">
        <v>0.3</v>
      </c>
      <c r="C179" s="34">
        <v>2.8</v>
      </c>
      <c r="D179" s="11">
        <f t="shared" si="20"/>
        <v>5.5999999999999994E-2</v>
      </c>
      <c r="E179" s="12">
        <f t="shared" si="21"/>
        <v>2.7439999999999998</v>
      </c>
      <c r="F179" s="19">
        <f t="shared" si="22"/>
        <v>2.444</v>
      </c>
      <c r="G179" s="22">
        <f t="shared" si="23"/>
        <v>8.1466666666666665</v>
      </c>
      <c r="H179" s="15" t="s">
        <v>256</v>
      </c>
    </row>
    <row r="180" spans="1:36" ht="19.5" customHeight="1">
      <c r="A180" s="6" t="s">
        <v>257</v>
      </c>
      <c r="B180" s="26">
        <v>0.8</v>
      </c>
      <c r="C180" s="33">
        <v>1.7</v>
      </c>
      <c r="D180" s="7">
        <f t="shared" si="20"/>
        <v>3.4000000000000002E-2</v>
      </c>
      <c r="E180" s="8">
        <f t="shared" si="21"/>
        <v>1.6659999999999999</v>
      </c>
      <c r="F180" s="18">
        <f t="shared" si="22"/>
        <v>0.86599999999999988</v>
      </c>
      <c r="G180" s="21">
        <f t="shared" si="23"/>
        <v>1.0824999999999998</v>
      </c>
      <c r="H180" s="17" t="s">
        <v>258</v>
      </c>
    </row>
    <row r="181" spans="1:36" ht="19.5" customHeight="1">
      <c r="A181" s="10" t="s">
        <v>16</v>
      </c>
      <c r="B181" s="27">
        <v>0.67</v>
      </c>
      <c r="C181" s="34">
        <v>3.75</v>
      </c>
      <c r="D181" s="11">
        <f t="shared" si="20"/>
        <v>7.4999999999999997E-2</v>
      </c>
      <c r="E181" s="12">
        <f t="shared" si="21"/>
        <v>3.6749999999999998</v>
      </c>
      <c r="F181" s="19">
        <f t="shared" si="22"/>
        <v>3.0049999999999999</v>
      </c>
      <c r="G181" s="22">
        <f t="shared" si="23"/>
        <v>4.4850746268656714</v>
      </c>
      <c r="H181" s="15" t="s">
        <v>259</v>
      </c>
    </row>
    <row r="182" spans="1:36" ht="19.5" customHeight="1">
      <c r="A182" s="6" t="s">
        <v>260</v>
      </c>
      <c r="B182" s="26">
        <v>0.99</v>
      </c>
      <c r="C182" s="33">
        <v>4.8</v>
      </c>
      <c r="D182" s="7">
        <f t="shared" si="20"/>
        <v>9.6000000000000002E-2</v>
      </c>
      <c r="E182" s="8">
        <f t="shared" si="21"/>
        <v>4.7039999999999997</v>
      </c>
      <c r="F182" s="18">
        <f t="shared" si="22"/>
        <v>3.7139999999999995</v>
      </c>
      <c r="G182" s="21">
        <f t="shared" si="23"/>
        <v>3.751515151515151</v>
      </c>
      <c r="H182" s="17" t="s">
        <v>261</v>
      </c>
    </row>
    <row r="183" spans="1:36" ht="19.5" customHeight="1">
      <c r="A183" s="10" t="s">
        <v>262</v>
      </c>
      <c r="B183" s="27">
        <v>12</v>
      </c>
      <c r="C183" s="34">
        <v>13.8</v>
      </c>
      <c r="D183" s="11">
        <f t="shared" si="20"/>
        <v>0.27600000000000002</v>
      </c>
      <c r="E183" s="12">
        <f>IF(C183="","",C183-D183)</f>
        <v>13.524000000000001</v>
      </c>
      <c r="F183" s="19">
        <f>IF(OR(B183="",C183=""),"",E183-B183)</f>
        <v>1.5240000000000009</v>
      </c>
      <c r="G183" s="22">
        <f t="shared" si="23"/>
        <v>0.12700000000000009</v>
      </c>
      <c r="H183" s="15" t="s">
        <v>263</v>
      </c>
    </row>
    <row r="184" spans="1:36" ht="19.5" customHeight="1">
      <c r="A184" s="6" t="s">
        <v>10</v>
      </c>
      <c r="B184" s="26">
        <v>0.42</v>
      </c>
      <c r="C184" s="33">
        <v>1.8</v>
      </c>
      <c r="D184" s="7">
        <f t="shared" si="20"/>
        <v>3.6000000000000004E-2</v>
      </c>
      <c r="E184" s="8">
        <f t="shared" si="21"/>
        <v>1.764</v>
      </c>
      <c r="F184" s="18">
        <f t="shared" si="22"/>
        <v>1.3440000000000001</v>
      </c>
      <c r="G184" s="21">
        <f t="shared" si="23"/>
        <v>3.2</v>
      </c>
      <c r="H184" s="17" t="s">
        <v>264</v>
      </c>
    </row>
    <row r="185" spans="1:36" ht="19.5" customHeight="1">
      <c r="A185" s="10" t="s">
        <v>24</v>
      </c>
      <c r="B185" s="27">
        <v>9.75</v>
      </c>
      <c r="C185" s="34">
        <v>14</v>
      </c>
      <c r="D185" s="11">
        <f t="shared" si="20"/>
        <v>0.28000000000000003</v>
      </c>
      <c r="E185" s="12">
        <f t="shared" si="21"/>
        <v>13.72</v>
      </c>
      <c r="F185" s="19">
        <f t="shared" si="22"/>
        <v>3.9700000000000006</v>
      </c>
      <c r="G185" s="22">
        <f t="shared" si="23"/>
        <v>0.40717948717948727</v>
      </c>
      <c r="H185" s="15" t="s">
        <v>265</v>
      </c>
    </row>
    <row r="186" spans="1:36" ht="19.5" customHeight="1">
      <c r="A186" s="6" t="s">
        <v>266</v>
      </c>
      <c r="B186" s="26">
        <v>3</v>
      </c>
      <c r="C186" s="33">
        <v>5</v>
      </c>
      <c r="D186" s="7">
        <f t="shared" si="20"/>
        <v>0.1</v>
      </c>
      <c r="E186" s="8">
        <f t="shared" si="21"/>
        <v>4.9000000000000004</v>
      </c>
      <c r="F186" s="18">
        <f t="shared" si="22"/>
        <v>1.9000000000000004</v>
      </c>
      <c r="G186" s="21">
        <f t="shared" si="23"/>
        <v>0.63333333333333341</v>
      </c>
      <c r="H186" s="17" t="s">
        <v>267</v>
      </c>
      <c r="L186" s="16" t="s">
        <v>268</v>
      </c>
      <c r="Q186" s="16" t="s">
        <v>269</v>
      </c>
      <c r="V186" s="16" t="s">
        <v>270</v>
      </c>
      <c r="AA186" s="16" t="s">
        <v>271</v>
      </c>
      <c r="AE186" s="16" t="s">
        <v>272</v>
      </c>
      <c r="AJ186" s="16" t="s">
        <v>273</v>
      </c>
    </row>
    <row r="187" spans="1:36" ht="19.5" customHeight="1">
      <c r="A187" s="10" t="s">
        <v>24</v>
      </c>
      <c r="B187" s="27">
        <v>9.0500000000000007</v>
      </c>
      <c r="C187" s="34">
        <v>12.5</v>
      </c>
      <c r="D187" s="11">
        <f>IF(C187="","",C187*$B$1)</f>
        <v>0.25</v>
      </c>
      <c r="E187" s="12">
        <f t="shared" si="21"/>
        <v>12.25</v>
      </c>
      <c r="F187" s="19">
        <f t="shared" si="22"/>
        <v>3.1999999999999993</v>
      </c>
      <c r="G187" s="22">
        <f t="shared" si="23"/>
        <v>0.35359116022099435</v>
      </c>
      <c r="H187" s="15" t="s">
        <v>274</v>
      </c>
    </row>
    <row r="188" spans="1:36" ht="19.5" customHeight="1">
      <c r="A188" s="6" t="s">
        <v>32</v>
      </c>
      <c r="B188" s="26">
        <v>1.38</v>
      </c>
      <c r="C188" s="33">
        <v>2.65</v>
      </c>
      <c r="D188" s="7">
        <f t="shared" si="20"/>
        <v>5.2999999999999999E-2</v>
      </c>
      <c r="E188" s="8">
        <f t="shared" si="21"/>
        <v>2.597</v>
      </c>
      <c r="F188" s="18">
        <f t="shared" si="22"/>
        <v>1.2170000000000001</v>
      </c>
      <c r="G188" s="21">
        <f t="shared" si="23"/>
        <v>0.88188405797101466</v>
      </c>
      <c r="H188" s="17" t="s">
        <v>275</v>
      </c>
    </row>
    <row r="189" spans="1:36" ht="19.5" customHeight="1">
      <c r="A189" s="10" t="s">
        <v>115</v>
      </c>
      <c r="B189" s="27">
        <v>1.17</v>
      </c>
      <c r="C189" s="34">
        <v>3.4</v>
      </c>
      <c r="D189" s="11">
        <f t="shared" si="20"/>
        <v>6.8000000000000005E-2</v>
      </c>
      <c r="E189" s="12">
        <f t="shared" si="21"/>
        <v>3.3319999999999999</v>
      </c>
      <c r="F189" s="19">
        <f>IF(OR(B189="",C189=""),"",E189-B189)</f>
        <v>2.1619999999999999</v>
      </c>
      <c r="G189" s="22">
        <f>IF(OR(B189="",B189=0),"",F189/B189)</f>
        <v>1.847863247863248</v>
      </c>
      <c r="H189" s="15" t="s">
        <v>276</v>
      </c>
    </row>
    <row r="190" spans="1:36" ht="19.5" customHeight="1">
      <c r="A190" s="6" t="s">
        <v>95</v>
      </c>
      <c r="B190" s="26">
        <v>0.67</v>
      </c>
      <c r="C190" s="33">
        <v>3.05</v>
      </c>
      <c r="D190" s="7">
        <f t="shared" si="20"/>
        <v>6.0999999999999999E-2</v>
      </c>
      <c r="E190" s="8">
        <f t="shared" si="21"/>
        <v>2.9889999999999999</v>
      </c>
      <c r="F190" s="18">
        <f t="shared" si="22"/>
        <v>2.319</v>
      </c>
      <c r="G190" s="21">
        <f t="shared" si="23"/>
        <v>3.4611940298507462</v>
      </c>
      <c r="H190" s="17" t="s">
        <v>277</v>
      </c>
    </row>
    <row r="191" spans="1:36" ht="19.5" customHeight="1">
      <c r="A191" s="10" t="s">
        <v>64</v>
      </c>
      <c r="B191" s="27">
        <v>0.17</v>
      </c>
      <c r="C191" s="34">
        <v>4.2</v>
      </c>
      <c r="D191" s="11">
        <f t="shared" si="20"/>
        <v>8.4000000000000005E-2</v>
      </c>
      <c r="E191" s="12">
        <f t="shared" si="21"/>
        <v>4.1160000000000005</v>
      </c>
      <c r="F191" s="19">
        <f t="shared" si="22"/>
        <v>3.9460000000000006</v>
      </c>
      <c r="G191" s="22">
        <f t="shared" si="23"/>
        <v>23.211764705882356</v>
      </c>
      <c r="H191" s="15" t="s">
        <v>278</v>
      </c>
    </row>
    <row r="192" spans="1:36" ht="19.5" customHeight="1">
      <c r="A192" s="6" t="s">
        <v>184</v>
      </c>
      <c r="B192" s="26">
        <v>1.1200000000000001</v>
      </c>
      <c r="C192" s="33">
        <v>3.8</v>
      </c>
      <c r="D192" s="7">
        <f t="shared" si="20"/>
        <v>7.5999999999999998E-2</v>
      </c>
      <c r="E192" s="8">
        <f t="shared" si="21"/>
        <v>3.7239999999999998</v>
      </c>
      <c r="F192" s="18">
        <f t="shared" si="22"/>
        <v>2.6039999999999996</v>
      </c>
      <c r="G192" s="21">
        <f t="shared" si="23"/>
        <v>2.3249999999999993</v>
      </c>
      <c r="H192" s="17" t="s">
        <v>279</v>
      </c>
    </row>
    <row r="193" spans="1:8" ht="19.5" customHeight="1">
      <c r="A193" s="10" t="s">
        <v>280</v>
      </c>
      <c r="B193" s="27">
        <v>200</v>
      </c>
      <c r="C193" s="34">
        <v>225</v>
      </c>
      <c r="D193" s="11">
        <f t="shared" si="20"/>
        <v>4.5</v>
      </c>
      <c r="E193" s="12">
        <f t="shared" si="21"/>
        <v>220.5</v>
      </c>
      <c r="F193" s="19">
        <f t="shared" si="22"/>
        <v>20.5</v>
      </c>
      <c r="G193" s="22">
        <f t="shared" si="23"/>
        <v>0.10249999999999999</v>
      </c>
      <c r="H193" s="15" t="s">
        <v>281</v>
      </c>
    </row>
    <row r="194" spans="1:8" ht="19.5" customHeight="1">
      <c r="A194" s="6" t="s">
        <v>115</v>
      </c>
      <c r="B194" s="26">
        <v>1.03</v>
      </c>
      <c r="C194" s="33">
        <v>3.45</v>
      </c>
      <c r="D194" s="7">
        <f>IF(C194="","",C194*$B$1)</f>
        <v>6.9000000000000006E-2</v>
      </c>
      <c r="E194" s="8">
        <f t="shared" si="21"/>
        <v>3.3810000000000002</v>
      </c>
      <c r="F194" s="18">
        <f t="shared" si="22"/>
        <v>2.351</v>
      </c>
      <c r="G194" s="21">
        <f t="shared" si="23"/>
        <v>2.2825242718446601</v>
      </c>
      <c r="H194" s="17" t="s">
        <v>282</v>
      </c>
    </row>
    <row r="195" spans="1:8" ht="19.5" customHeight="1">
      <c r="A195" s="10" t="s">
        <v>95</v>
      </c>
      <c r="B195" s="27">
        <v>1.1200000000000001</v>
      </c>
      <c r="C195" s="34">
        <v>2.9</v>
      </c>
      <c r="D195" s="11">
        <f t="shared" si="20"/>
        <v>5.7999999999999996E-2</v>
      </c>
      <c r="E195" s="12">
        <f t="shared" si="21"/>
        <v>2.8420000000000001</v>
      </c>
      <c r="F195" s="19">
        <f t="shared" si="22"/>
        <v>1.722</v>
      </c>
      <c r="G195" s="22">
        <f t="shared" si="23"/>
        <v>1.5374999999999999</v>
      </c>
      <c r="H195" s="15" t="s">
        <v>283</v>
      </c>
    </row>
    <row r="196" spans="1:8" ht="19.5" customHeight="1">
      <c r="A196" s="6" t="s">
        <v>140</v>
      </c>
      <c r="B196" s="26">
        <v>10.039999999999999</v>
      </c>
      <c r="C196" s="33">
        <v>11</v>
      </c>
      <c r="D196" s="7">
        <f t="shared" si="20"/>
        <v>0.22</v>
      </c>
      <c r="E196" s="8">
        <f t="shared" si="21"/>
        <v>10.78</v>
      </c>
      <c r="F196" s="18">
        <f t="shared" si="22"/>
        <v>0.74000000000000021</v>
      </c>
      <c r="G196" s="21">
        <f t="shared" si="23"/>
        <v>7.3705179282868558E-2</v>
      </c>
      <c r="H196" s="17" t="s">
        <v>284</v>
      </c>
    </row>
    <row r="197" spans="1:8" ht="19.5" customHeight="1">
      <c r="A197" s="10" t="s">
        <v>72</v>
      </c>
      <c r="B197" s="27">
        <v>9.6300000000000008</v>
      </c>
      <c r="C197" s="34">
        <v>14.5</v>
      </c>
      <c r="D197" s="11">
        <f t="shared" si="20"/>
        <v>0.28999999999999998</v>
      </c>
      <c r="E197" s="12">
        <f t="shared" si="21"/>
        <v>14.21</v>
      </c>
      <c r="F197" s="19">
        <f t="shared" si="22"/>
        <v>4.58</v>
      </c>
      <c r="G197" s="22">
        <f t="shared" si="23"/>
        <v>0.4755970924195223</v>
      </c>
      <c r="H197" s="15" t="s">
        <v>285</v>
      </c>
    </row>
    <row r="198" spans="1:8" ht="19.5" customHeight="1">
      <c r="A198" s="6" t="s">
        <v>12</v>
      </c>
      <c r="B198" s="26">
        <v>0.08</v>
      </c>
      <c r="C198" s="33">
        <v>4.5</v>
      </c>
      <c r="D198" s="7">
        <f t="shared" si="20"/>
        <v>0.09</v>
      </c>
      <c r="E198" s="8">
        <f t="shared" si="21"/>
        <v>4.41</v>
      </c>
      <c r="F198" s="18">
        <f t="shared" si="22"/>
        <v>4.33</v>
      </c>
      <c r="G198" s="21">
        <f t="shared" si="23"/>
        <v>54.125</v>
      </c>
      <c r="H198" s="17" t="s">
        <v>286</v>
      </c>
    </row>
    <row r="199" spans="1:8" ht="19.5" customHeight="1">
      <c r="A199" s="10" t="s">
        <v>115</v>
      </c>
      <c r="B199" s="27">
        <v>1.24</v>
      </c>
      <c r="C199" s="34">
        <v>4.2</v>
      </c>
      <c r="D199" s="11">
        <f t="shared" si="20"/>
        <v>8.4000000000000005E-2</v>
      </c>
      <c r="E199" s="12">
        <f t="shared" si="21"/>
        <v>4.1160000000000005</v>
      </c>
      <c r="F199" s="19">
        <f t="shared" si="22"/>
        <v>2.8760000000000003</v>
      </c>
      <c r="G199" s="22">
        <f t="shared" si="23"/>
        <v>2.3193548387096778</v>
      </c>
      <c r="H199" s="15" t="s">
        <v>287</v>
      </c>
    </row>
    <row r="200" spans="1:8" ht="19.5" customHeight="1">
      <c r="A200" s="6" t="s">
        <v>288</v>
      </c>
      <c r="B200" s="26">
        <v>8.14</v>
      </c>
      <c r="C200" s="33">
        <v>10.8</v>
      </c>
      <c r="D200" s="7">
        <f t="shared" si="20"/>
        <v>0.21600000000000003</v>
      </c>
      <c r="E200" s="8">
        <f t="shared" si="21"/>
        <v>10.584000000000001</v>
      </c>
      <c r="F200" s="18">
        <f t="shared" si="22"/>
        <v>2.4440000000000008</v>
      </c>
      <c r="G200" s="21">
        <f t="shared" si="23"/>
        <v>0.30024570024570035</v>
      </c>
      <c r="H200" s="17" t="s">
        <v>289</v>
      </c>
    </row>
    <row r="201" spans="1:8" ht="19.5" customHeight="1">
      <c r="A201" s="10" t="s">
        <v>72</v>
      </c>
      <c r="B201" s="27">
        <v>1.1200000000000001</v>
      </c>
      <c r="C201" s="34">
        <v>3.1</v>
      </c>
      <c r="D201" s="11">
        <f t="shared" si="20"/>
        <v>6.2000000000000006E-2</v>
      </c>
      <c r="E201" s="12">
        <f t="shared" si="21"/>
        <v>3.0380000000000003</v>
      </c>
      <c r="F201" s="19">
        <f t="shared" si="22"/>
        <v>1.9180000000000001</v>
      </c>
      <c r="G201" s="22">
        <f t="shared" si="23"/>
        <v>1.7124999999999999</v>
      </c>
      <c r="H201" s="15" t="s">
        <v>290</v>
      </c>
    </row>
    <row r="202" spans="1:8" ht="19.5" customHeight="1">
      <c r="A202" s="6" t="s">
        <v>32</v>
      </c>
      <c r="B202" s="26">
        <v>0.43</v>
      </c>
      <c r="C202" s="33">
        <v>2.6</v>
      </c>
      <c r="D202" s="7">
        <f t="shared" si="20"/>
        <v>5.2000000000000005E-2</v>
      </c>
      <c r="E202" s="8">
        <f t="shared" si="21"/>
        <v>2.548</v>
      </c>
      <c r="F202" s="18">
        <f t="shared" si="22"/>
        <v>2.1179999999999999</v>
      </c>
      <c r="G202" s="21">
        <f t="shared" si="23"/>
        <v>4.9255813953488374</v>
      </c>
      <c r="H202" s="17" t="s">
        <v>291</v>
      </c>
    </row>
    <row r="203" spans="1:8" ht="19.5" customHeight="1">
      <c r="A203" s="10" t="s">
        <v>16</v>
      </c>
      <c r="B203" s="27">
        <v>1.4</v>
      </c>
      <c r="C203" s="34">
        <v>2.1</v>
      </c>
      <c r="D203" s="11">
        <f t="shared" si="20"/>
        <v>4.2000000000000003E-2</v>
      </c>
      <c r="E203" s="12">
        <f t="shared" si="21"/>
        <v>2.0580000000000003</v>
      </c>
      <c r="F203" s="19">
        <f t="shared" si="22"/>
        <v>0.65800000000000036</v>
      </c>
      <c r="G203" s="22">
        <f t="shared" si="23"/>
        <v>0.47000000000000031</v>
      </c>
      <c r="H203" s="15" t="s">
        <v>292</v>
      </c>
    </row>
    <row r="204" spans="1:8" ht="19.5" customHeight="1">
      <c r="A204" s="6" t="s">
        <v>44</v>
      </c>
      <c r="B204" s="26">
        <v>0.46</v>
      </c>
      <c r="C204" s="33">
        <v>2.2999999999999998</v>
      </c>
      <c r="D204" s="7">
        <f t="shared" si="20"/>
        <v>4.5999999999999999E-2</v>
      </c>
      <c r="E204" s="8">
        <f t="shared" si="21"/>
        <v>2.254</v>
      </c>
      <c r="F204" s="18">
        <f t="shared" si="22"/>
        <v>1.794</v>
      </c>
      <c r="G204" s="21">
        <f t="shared" si="23"/>
        <v>3.9</v>
      </c>
      <c r="H204" s="17" t="s">
        <v>293</v>
      </c>
    </row>
    <row r="205" spans="1:8" ht="19.5" customHeight="1">
      <c r="A205" s="10" t="s">
        <v>16</v>
      </c>
      <c r="B205" s="27">
        <v>1.1200000000000001</v>
      </c>
      <c r="C205" s="34">
        <v>2.9</v>
      </c>
      <c r="D205" s="11">
        <f t="shared" si="20"/>
        <v>5.7999999999999996E-2</v>
      </c>
      <c r="E205" s="12">
        <f t="shared" si="21"/>
        <v>2.8420000000000001</v>
      </c>
      <c r="F205" s="19">
        <f t="shared" si="22"/>
        <v>1.722</v>
      </c>
      <c r="G205" s="22">
        <f t="shared" si="23"/>
        <v>1.5374999999999999</v>
      </c>
      <c r="H205" s="15" t="s">
        <v>294</v>
      </c>
    </row>
    <row r="206" spans="1:8" ht="19.5" customHeight="1">
      <c r="A206" s="6" t="s">
        <v>12</v>
      </c>
      <c r="B206" s="26">
        <v>0.06</v>
      </c>
      <c r="C206" s="33">
        <v>16</v>
      </c>
      <c r="D206" s="7">
        <f t="shared" si="20"/>
        <v>0.32</v>
      </c>
      <c r="E206" s="8">
        <f t="shared" si="21"/>
        <v>15.68</v>
      </c>
      <c r="F206" s="18">
        <f t="shared" si="22"/>
        <v>15.62</v>
      </c>
      <c r="G206" s="21">
        <f t="shared" si="23"/>
        <v>260.33333333333331</v>
      </c>
      <c r="H206" s="17" t="s">
        <v>295</v>
      </c>
    </row>
    <row r="207" spans="1:8" ht="19.5" customHeight="1">
      <c r="A207" s="10" t="s">
        <v>32</v>
      </c>
      <c r="B207" s="27">
        <v>1.66</v>
      </c>
      <c r="C207" s="34">
        <v>3.1</v>
      </c>
      <c r="D207" s="11">
        <f t="shared" si="20"/>
        <v>6.2000000000000006E-2</v>
      </c>
      <c r="E207" s="12">
        <f t="shared" si="21"/>
        <v>3.0380000000000003</v>
      </c>
      <c r="F207" s="19">
        <f t="shared" si="22"/>
        <v>1.3780000000000003</v>
      </c>
      <c r="G207" s="22">
        <f t="shared" si="23"/>
        <v>0.83012048192771104</v>
      </c>
      <c r="H207" s="15" t="s">
        <v>296</v>
      </c>
    </row>
    <row r="208" spans="1:8" ht="19.5" customHeight="1">
      <c r="A208" s="6" t="s">
        <v>24</v>
      </c>
      <c r="B208" s="26">
        <v>3.46</v>
      </c>
      <c r="C208" s="33">
        <v>15</v>
      </c>
      <c r="D208" s="7">
        <f t="shared" si="20"/>
        <v>0.3</v>
      </c>
      <c r="E208" s="8">
        <f t="shared" si="21"/>
        <v>14.7</v>
      </c>
      <c r="F208" s="18">
        <f t="shared" si="22"/>
        <v>11.239999999999998</v>
      </c>
      <c r="G208" s="21">
        <f t="shared" si="23"/>
        <v>3.2485549132947971</v>
      </c>
      <c r="H208" s="17" t="s">
        <v>297</v>
      </c>
    </row>
    <row r="209" spans="1:8" ht="19.5" customHeight="1">
      <c r="A209" s="10" t="s">
        <v>16</v>
      </c>
      <c r="B209" s="27">
        <v>0.52</v>
      </c>
      <c r="C209" s="34">
        <v>3.1</v>
      </c>
      <c r="D209" s="11">
        <f t="shared" si="20"/>
        <v>6.2000000000000006E-2</v>
      </c>
      <c r="E209" s="12">
        <f t="shared" si="21"/>
        <v>3.0380000000000003</v>
      </c>
      <c r="F209" s="19">
        <f t="shared" si="22"/>
        <v>2.5180000000000002</v>
      </c>
      <c r="G209" s="22">
        <f t="shared" si="23"/>
        <v>4.8423076923076929</v>
      </c>
      <c r="H209" s="15" t="s">
        <v>298</v>
      </c>
    </row>
    <row r="210" spans="1:8" ht="19.5" customHeight="1">
      <c r="A210" s="6" t="s">
        <v>299</v>
      </c>
      <c r="B210" s="26">
        <v>2.4900000000000002</v>
      </c>
      <c r="C210" s="33">
        <v>9</v>
      </c>
      <c r="D210" s="7">
        <f t="shared" si="20"/>
        <v>0.18</v>
      </c>
      <c r="E210" s="8">
        <f t="shared" si="21"/>
        <v>8.82</v>
      </c>
      <c r="F210" s="18">
        <f t="shared" si="22"/>
        <v>6.33</v>
      </c>
      <c r="G210" s="21">
        <f t="shared" si="23"/>
        <v>2.5421686746987948</v>
      </c>
      <c r="H210" s="17" t="s">
        <v>300</v>
      </c>
    </row>
    <row r="211" spans="1:8" ht="19.5" customHeight="1">
      <c r="A211" s="10" t="s">
        <v>193</v>
      </c>
      <c r="B211" s="27">
        <v>1.38</v>
      </c>
      <c r="C211" s="34">
        <v>2.2999999999999998</v>
      </c>
      <c r="D211" s="11">
        <f t="shared" si="20"/>
        <v>4.5999999999999999E-2</v>
      </c>
      <c r="E211" s="12">
        <f t="shared" si="21"/>
        <v>2.254</v>
      </c>
      <c r="F211" s="19">
        <f t="shared" si="22"/>
        <v>0.87400000000000011</v>
      </c>
      <c r="G211" s="22">
        <f t="shared" si="23"/>
        <v>0.63333333333333341</v>
      </c>
      <c r="H211" s="15" t="s">
        <v>301</v>
      </c>
    </row>
    <row r="212" spans="1:8" ht="19.5" customHeight="1">
      <c r="A212" s="6" t="s">
        <v>16</v>
      </c>
      <c r="B212" s="26">
        <v>1.4</v>
      </c>
      <c r="C212" s="33">
        <v>2.2000000000000002</v>
      </c>
      <c r="D212" s="7">
        <f t="shared" ref="D212:D275" si="24">IF(C212="","",C212*$B$1)</f>
        <v>4.4000000000000004E-2</v>
      </c>
      <c r="E212" s="8">
        <f t="shared" ref="E212:E275" si="25">IF(C212="","",C212-D212)</f>
        <v>2.1560000000000001</v>
      </c>
      <c r="F212" s="18">
        <f t="shared" ref="F212:F275" si="26">IF(OR(B212="",C212=""),"",E212-B212)</f>
        <v>0.75600000000000023</v>
      </c>
      <c r="G212" s="21">
        <f t="shared" ref="G212:G275" si="27">IF(OR(B212="",B212=0),"",F212/B212)</f>
        <v>0.54000000000000015</v>
      </c>
      <c r="H212" s="17" t="s">
        <v>302</v>
      </c>
    </row>
    <row r="213" spans="1:8" ht="19.5" customHeight="1">
      <c r="A213" s="10" t="s">
        <v>191</v>
      </c>
      <c r="B213" s="27">
        <v>59.2</v>
      </c>
      <c r="C213" s="34">
        <v>63.6</v>
      </c>
      <c r="D213" s="11">
        <f t="shared" si="24"/>
        <v>1.272</v>
      </c>
      <c r="E213" s="12">
        <f t="shared" si="25"/>
        <v>62.328000000000003</v>
      </c>
      <c r="F213" s="19">
        <f t="shared" si="26"/>
        <v>3.1280000000000001</v>
      </c>
      <c r="G213" s="22">
        <f t="shared" si="27"/>
        <v>5.2837837837837839E-2</v>
      </c>
      <c r="H213" s="15" t="s">
        <v>303</v>
      </c>
    </row>
    <row r="214" spans="1:8" ht="19.5" customHeight="1">
      <c r="A214" s="6" t="s">
        <v>253</v>
      </c>
      <c r="B214" s="26">
        <v>0.36</v>
      </c>
      <c r="C214" s="33">
        <v>2.2000000000000002</v>
      </c>
      <c r="D214" s="7">
        <f t="shared" si="24"/>
        <v>4.4000000000000004E-2</v>
      </c>
      <c r="E214" s="8">
        <f t="shared" si="25"/>
        <v>2.1560000000000001</v>
      </c>
      <c r="F214" s="18">
        <f t="shared" si="26"/>
        <v>1.7960000000000003</v>
      </c>
      <c r="G214" s="21">
        <f t="shared" si="27"/>
        <v>4.9888888888888898</v>
      </c>
      <c r="H214" s="17" t="s">
        <v>304</v>
      </c>
    </row>
    <row r="215" spans="1:8" ht="19.5" customHeight="1">
      <c r="A215" s="10" t="s">
        <v>34</v>
      </c>
      <c r="B215" s="27">
        <v>0.94</v>
      </c>
      <c r="C215" s="34">
        <v>5.2</v>
      </c>
      <c r="D215" s="11">
        <f t="shared" si="24"/>
        <v>0.10400000000000001</v>
      </c>
      <c r="E215" s="12">
        <f t="shared" si="25"/>
        <v>5.0960000000000001</v>
      </c>
      <c r="F215" s="19">
        <f t="shared" si="26"/>
        <v>4.1560000000000006</v>
      </c>
      <c r="G215" s="22">
        <f t="shared" si="27"/>
        <v>4.4212765957446818</v>
      </c>
      <c r="H215" s="15" t="s">
        <v>305</v>
      </c>
    </row>
    <row r="216" spans="1:8" ht="19.5" customHeight="1">
      <c r="A216" s="6" t="s">
        <v>16</v>
      </c>
      <c r="B216" s="26">
        <v>0.56999999999999995</v>
      </c>
      <c r="C216" s="33">
        <v>2.2999999999999998</v>
      </c>
      <c r="D216" s="7">
        <f t="shared" si="24"/>
        <v>4.5999999999999999E-2</v>
      </c>
      <c r="E216" s="8">
        <f t="shared" si="25"/>
        <v>2.254</v>
      </c>
      <c r="F216" s="18">
        <f t="shared" si="26"/>
        <v>1.6840000000000002</v>
      </c>
      <c r="G216" s="21">
        <f t="shared" si="27"/>
        <v>2.9543859649122814</v>
      </c>
      <c r="H216" s="17" t="s">
        <v>306</v>
      </c>
    </row>
    <row r="217" spans="1:8" ht="19.5" customHeight="1">
      <c r="A217" s="10" t="s">
        <v>184</v>
      </c>
      <c r="B217" s="27">
        <v>0.56999999999999995</v>
      </c>
      <c r="C217" s="34">
        <v>3.5</v>
      </c>
      <c r="D217" s="11">
        <f t="shared" si="24"/>
        <v>7.0000000000000007E-2</v>
      </c>
      <c r="E217" s="12">
        <f t="shared" si="25"/>
        <v>3.43</v>
      </c>
      <c r="F217" s="19">
        <f t="shared" si="26"/>
        <v>2.8600000000000003</v>
      </c>
      <c r="G217" s="22">
        <f t="shared" si="27"/>
        <v>5.0175438596491242</v>
      </c>
      <c r="H217" s="15" t="s">
        <v>307</v>
      </c>
    </row>
    <row r="218" spans="1:8" ht="19.5" customHeight="1">
      <c r="A218" s="6" t="s">
        <v>32</v>
      </c>
      <c r="B218" s="26">
        <v>0.46</v>
      </c>
      <c r="C218" s="33">
        <v>2.1</v>
      </c>
      <c r="D218" s="7">
        <f t="shared" si="24"/>
        <v>4.2000000000000003E-2</v>
      </c>
      <c r="E218" s="8">
        <f t="shared" si="25"/>
        <v>2.0580000000000003</v>
      </c>
      <c r="F218" s="18">
        <f t="shared" si="26"/>
        <v>1.5980000000000003</v>
      </c>
      <c r="G218" s="21">
        <f t="shared" si="27"/>
        <v>3.4739130434782615</v>
      </c>
      <c r="H218" s="17" t="s">
        <v>308</v>
      </c>
    </row>
    <row r="219" spans="1:8" ht="19.5" customHeight="1">
      <c r="A219" s="10" t="s">
        <v>66</v>
      </c>
      <c r="B219" s="27">
        <v>2.59</v>
      </c>
      <c r="C219" s="34">
        <v>3.6</v>
      </c>
      <c r="D219" s="11">
        <f t="shared" si="24"/>
        <v>7.2000000000000008E-2</v>
      </c>
      <c r="E219" s="12">
        <f t="shared" si="25"/>
        <v>3.528</v>
      </c>
      <c r="F219" s="19">
        <f t="shared" si="26"/>
        <v>0.93800000000000017</v>
      </c>
      <c r="G219" s="22">
        <f t="shared" si="27"/>
        <v>0.36216216216216224</v>
      </c>
      <c r="H219" s="15" t="s">
        <v>309</v>
      </c>
    </row>
    <row r="220" spans="1:8" ht="19.5" customHeight="1">
      <c r="A220" s="6" t="s">
        <v>184</v>
      </c>
      <c r="B220" s="26">
        <v>0.28999999999999998</v>
      </c>
      <c r="C220" s="33">
        <v>1.5</v>
      </c>
      <c r="D220" s="7">
        <f t="shared" si="24"/>
        <v>0.03</v>
      </c>
      <c r="E220" s="8">
        <f t="shared" si="25"/>
        <v>1.47</v>
      </c>
      <c r="F220" s="18">
        <f t="shared" si="26"/>
        <v>1.18</v>
      </c>
      <c r="G220" s="21">
        <f t="shared" si="27"/>
        <v>4.068965517241379</v>
      </c>
      <c r="H220" s="17" t="s">
        <v>310</v>
      </c>
    </row>
    <row r="221" spans="1:8" ht="19.5" customHeight="1">
      <c r="A221" s="10" t="s">
        <v>66</v>
      </c>
      <c r="B221" s="27">
        <v>0.2</v>
      </c>
      <c r="C221" s="34">
        <v>1.5</v>
      </c>
      <c r="D221" s="11">
        <f t="shared" si="24"/>
        <v>0.03</v>
      </c>
      <c r="E221" s="12">
        <f t="shared" si="25"/>
        <v>1.47</v>
      </c>
      <c r="F221" s="19">
        <f t="shared" si="26"/>
        <v>1.27</v>
      </c>
      <c r="G221" s="22">
        <f t="shared" si="27"/>
        <v>6.35</v>
      </c>
      <c r="H221" s="15" t="s">
        <v>311</v>
      </c>
    </row>
    <row r="222" spans="1:8" ht="19.5" customHeight="1">
      <c r="A222" s="6" t="s">
        <v>18</v>
      </c>
      <c r="B222" s="26">
        <v>0.71</v>
      </c>
      <c r="C222" s="33">
        <v>4.0999999999999996</v>
      </c>
      <c r="D222" s="7">
        <f t="shared" si="24"/>
        <v>8.199999999999999E-2</v>
      </c>
      <c r="E222" s="8">
        <f t="shared" si="25"/>
        <v>4.0179999999999998</v>
      </c>
      <c r="F222" s="18">
        <f t="shared" si="26"/>
        <v>3.3079999999999998</v>
      </c>
      <c r="G222" s="21">
        <f t="shared" si="27"/>
        <v>4.6591549295774648</v>
      </c>
      <c r="H222" s="17" t="s">
        <v>312</v>
      </c>
    </row>
    <row r="223" spans="1:8" ht="19.5" customHeight="1">
      <c r="A223" s="10" t="s">
        <v>140</v>
      </c>
      <c r="B223" s="27">
        <v>19.399999999999999</v>
      </c>
      <c r="C223" s="34">
        <v>22</v>
      </c>
      <c r="D223" s="11">
        <f t="shared" si="24"/>
        <v>0.44</v>
      </c>
      <c r="E223" s="12">
        <f t="shared" si="25"/>
        <v>21.56</v>
      </c>
      <c r="F223" s="19">
        <f t="shared" si="26"/>
        <v>2.16</v>
      </c>
      <c r="G223" s="22">
        <f t="shared" si="27"/>
        <v>0.11134020618556703</v>
      </c>
      <c r="H223" s="15" t="s">
        <v>313</v>
      </c>
    </row>
    <row r="224" spans="1:8" ht="19.5" customHeight="1">
      <c r="A224" s="6" t="s">
        <v>184</v>
      </c>
      <c r="B224" s="26">
        <v>0.84</v>
      </c>
      <c r="C224" s="33">
        <v>2.6</v>
      </c>
      <c r="D224" s="7">
        <f t="shared" si="24"/>
        <v>5.2000000000000005E-2</v>
      </c>
      <c r="E224" s="8">
        <f t="shared" si="25"/>
        <v>2.548</v>
      </c>
      <c r="F224" s="18">
        <f t="shared" si="26"/>
        <v>1.7080000000000002</v>
      </c>
      <c r="G224" s="21">
        <f t="shared" si="27"/>
        <v>2.0333333333333337</v>
      </c>
      <c r="H224" s="17" t="s">
        <v>314</v>
      </c>
    </row>
    <row r="225" spans="1:8" ht="19.5" customHeight="1">
      <c r="A225" s="10" t="s">
        <v>32</v>
      </c>
      <c r="B225" s="27">
        <v>0.41</v>
      </c>
      <c r="C225" s="34">
        <v>2.7</v>
      </c>
      <c r="D225" s="11">
        <f t="shared" si="24"/>
        <v>5.4000000000000006E-2</v>
      </c>
      <c r="E225" s="12">
        <f t="shared" si="25"/>
        <v>2.6460000000000004</v>
      </c>
      <c r="F225" s="19">
        <f t="shared" si="26"/>
        <v>2.2360000000000002</v>
      </c>
      <c r="G225" s="22">
        <f t="shared" si="27"/>
        <v>5.4536585365853663</v>
      </c>
      <c r="H225" s="15" t="s">
        <v>315</v>
      </c>
    </row>
    <row r="226" spans="1:8" ht="19.5" customHeight="1">
      <c r="A226" s="6" t="s">
        <v>74</v>
      </c>
      <c r="B226" s="26">
        <v>0.04</v>
      </c>
      <c r="C226" s="33">
        <v>2.9</v>
      </c>
      <c r="D226" s="7">
        <f t="shared" si="24"/>
        <v>5.7999999999999996E-2</v>
      </c>
      <c r="E226" s="8">
        <f t="shared" si="25"/>
        <v>2.8420000000000001</v>
      </c>
      <c r="F226" s="18">
        <f t="shared" si="26"/>
        <v>2.802</v>
      </c>
      <c r="G226" s="21">
        <f t="shared" si="27"/>
        <v>70.05</v>
      </c>
      <c r="H226" s="17" t="s">
        <v>316</v>
      </c>
    </row>
    <row r="227" spans="1:8" ht="19.5" customHeight="1">
      <c r="A227" s="10"/>
      <c r="B227" s="27"/>
      <c r="C227" s="34"/>
      <c r="D227" s="11" t="str">
        <f t="shared" si="24"/>
        <v/>
      </c>
      <c r="E227" s="12" t="str">
        <f t="shared" si="25"/>
        <v/>
      </c>
      <c r="F227" s="19" t="str">
        <f t="shared" si="26"/>
        <v/>
      </c>
      <c r="G227" s="22" t="str">
        <f t="shared" si="27"/>
        <v/>
      </c>
      <c r="H227" s="13"/>
    </row>
    <row r="228" spans="1:8" ht="19.5" customHeight="1">
      <c r="A228" s="6"/>
      <c r="B228" s="26"/>
      <c r="C228" s="33"/>
      <c r="D228" s="7" t="str">
        <f t="shared" si="24"/>
        <v/>
      </c>
      <c r="E228" s="8" t="str">
        <f t="shared" si="25"/>
        <v/>
      </c>
      <c r="F228" s="18" t="str">
        <f t="shared" si="26"/>
        <v/>
      </c>
      <c r="G228" s="21" t="str">
        <f t="shared" si="27"/>
        <v/>
      </c>
      <c r="H228" s="9"/>
    </row>
    <row r="229" spans="1:8" ht="19.5" customHeight="1">
      <c r="A229" s="10"/>
      <c r="B229" s="27"/>
      <c r="C229" s="34"/>
      <c r="D229" s="11" t="str">
        <f t="shared" si="24"/>
        <v/>
      </c>
      <c r="E229" s="12" t="str">
        <f t="shared" si="25"/>
        <v/>
      </c>
      <c r="F229" s="19" t="str">
        <f t="shared" si="26"/>
        <v/>
      </c>
      <c r="G229" s="22" t="str">
        <f t="shared" si="27"/>
        <v/>
      </c>
      <c r="H229" s="13"/>
    </row>
    <row r="230" spans="1:8" ht="19.5" customHeight="1">
      <c r="A230" s="6"/>
      <c r="B230" s="26"/>
      <c r="C230" s="33"/>
      <c r="D230" s="7" t="str">
        <f t="shared" si="24"/>
        <v/>
      </c>
      <c r="E230" s="8" t="str">
        <f t="shared" si="25"/>
        <v/>
      </c>
      <c r="F230" s="18" t="str">
        <f t="shared" si="26"/>
        <v/>
      </c>
      <c r="G230" s="21" t="str">
        <f t="shared" si="27"/>
        <v/>
      </c>
      <c r="H230" s="9"/>
    </row>
    <row r="231" spans="1:8" ht="19.5" customHeight="1">
      <c r="A231" s="10"/>
      <c r="B231" s="27"/>
      <c r="C231" s="34"/>
      <c r="D231" s="11" t="str">
        <f t="shared" si="24"/>
        <v/>
      </c>
      <c r="E231" s="12" t="str">
        <f t="shared" si="25"/>
        <v/>
      </c>
      <c r="F231" s="19" t="str">
        <f t="shared" si="26"/>
        <v/>
      </c>
      <c r="G231" s="22" t="str">
        <f t="shared" si="27"/>
        <v/>
      </c>
      <c r="H231" s="13"/>
    </row>
    <row r="232" spans="1:8" ht="19.5" customHeight="1">
      <c r="A232" s="6"/>
      <c r="B232" s="26"/>
      <c r="C232" s="33"/>
      <c r="D232" s="7" t="str">
        <f t="shared" si="24"/>
        <v/>
      </c>
      <c r="E232" s="8" t="str">
        <f t="shared" si="25"/>
        <v/>
      </c>
      <c r="F232" s="18" t="str">
        <f t="shared" si="26"/>
        <v/>
      </c>
      <c r="G232" s="21" t="str">
        <f t="shared" si="27"/>
        <v/>
      </c>
      <c r="H232" s="9"/>
    </row>
    <row r="233" spans="1:8" ht="19.5" customHeight="1">
      <c r="A233" s="10"/>
      <c r="B233" s="27"/>
      <c r="C233" s="34"/>
      <c r="D233" s="11" t="str">
        <f t="shared" si="24"/>
        <v/>
      </c>
      <c r="E233" s="12" t="str">
        <f t="shared" si="25"/>
        <v/>
      </c>
      <c r="F233" s="19" t="str">
        <f t="shared" si="26"/>
        <v/>
      </c>
      <c r="G233" s="22" t="str">
        <f t="shared" si="27"/>
        <v/>
      </c>
      <c r="H233" s="13"/>
    </row>
    <row r="234" spans="1:8" ht="19.5" customHeight="1">
      <c r="A234" s="6"/>
      <c r="B234" s="26"/>
      <c r="C234" s="33"/>
      <c r="D234" s="7" t="str">
        <f t="shared" si="24"/>
        <v/>
      </c>
      <c r="E234" s="8" t="str">
        <f t="shared" si="25"/>
        <v/>
      </c>
      <c r="F234" s="18" t="str">
        <f t="shared" si="26"/>
        <v/>
      </c>
      <c r="G234" s="21" t="str">
        <f t="shared" si="27"/>
        <v/>
      </c>
      <c r="H234" s="9"/>
    </row>
    <row r="235" spans="1:8" ht="19.5" customHeight="1">
      <c r="A235" s="10"/>
      <c r="B235" s="27"/>
      <c r="C235" s="34"/>
      <c r="D235" s="11" t="str">
        <f t="shared" si="24"/>
        <v/>
      </c>
      <c r="E235" s="12" t="str">
        <f t="shared" si="25"/>
        <v/>
      </c>
      <c r="F235" s="19" t="str">
        <f t="shared" si="26"/>
        <v/>
      </c>
      <c r="G235" s="22" t="str">
        <f t="shared" si="27"/>
        <v/>
      </c>
      <c r="H235" s="13"/>
    </row>
    <row r="236" spans="1:8" ht="19.5" customHeight="1">
      <c r="A236" s="6"/>
      <c r="B236" s="26"/>
      <c r="C236" s="33"/>
      <c r="D236" s="7" t="str">
        <f t="shared" si="24"/>
        <v/>
      </c>
      <c r="E236" s="8" t="str">
        <f t="shared" si="25"/>
        <v/>
      </c>
      <c r="F236" s="18" t="str">
        <f t="shared" si="26"/>
        <v/>
      </c>
      <c r="G236" s="21" t="str">
        <f t="shared" si="27"/>
        <v/>
      </c>
      <c r="H236" s="9"/>
    </row>
    <row r="237" spans="1:8" ht="19.5" customHeight="1">
      <c r="A237" s="10"/>
      <c r="B237" s="27"/>
      <c r="C237" s="34"/>
      <c r="D237" s="11" t="str">
        <f t="shared" si="24"/>
        <v/>
      </c>
      <c r="E237" s="12" t="str">
        <f t="shared" si="25"/>
        <v/>
      </c>
      <c r="F237" s="19" t="str">
        <f t="shared" si="26"/>
        <v/>
      </c>
      <c r="G237" s="22" t="str">
        <f t="shared" si="27"/>
        <v/>
      </c>
      <c r="H237" s="13"/>
    </row>
    <row r="238" spans="1:8" ht="19.5" customHeight="1">
      <c r="A238" s="6"/>
      <c r="B238" s="26"/>
      <c r="C238" s="33"/>
      <c r="D238" s="7" t="str">
        <f t="shared" si="24"/>
        <v/>
      </c>
      <c r="E238" s="8" t="str">
        <f t="shared" si="25"/>
        <v/>
      </c>
      <c r="F238" s="18" t="str">
        <f t="shared" si="26"/>
        <v/>
      </c>
      <c r="G238" s="21" t="str">
        <f t="shared" si="27"/>
        <v/>
      </c>
      <c r="H238" s="9"/>
    </row>
    <row r="239" spans="1:8" ht="19.5" customHeight="1">
      <c r="A239" s="10"/>
      <c r="B239" s="27"/>
      <c r="C239" s="34"/>
      <c r="D239" s="11" t="str">
        <f t="shared" si="24"/>
        <v/>
      </c>
      <c r="E239" s="12" t="str">
        <f t="shared" si="25"/>
        <v/>
      </c>
      <c r="F239" s="19" t="str">
        <f t="shared" si="26"/>
        <v/>
      </c>
      <c r="G239" s="22" t="str">
        <f t="shared" si="27"/>
        <v/>
      </c>
      <c r="H239" s="13"/>
    </row>
    <row r="240" spans="1:8" ht="19.5" customHeight="1">
      <c r="A240" s="6"/>
      <c r="B240" s="26"/>
      <c r="C240" s="33"/>
      <c r="D240" s="7" t="str">
        <f t="shared" si="24"/>
        <v/>
      </c>
      <c r="E240" s="8" t="str">
        <f t="shared" si="25"/>
        <v/>
      </c>
      <c r="F240" s="18" t="str">
        <f t="shared" si="26"/>
        <v/>
      </c>
      <c r="G240" s="21" t="str">
        <f t="shared" si="27"/>
        <v/>
      </c>
      <c r="H240" s="9"/>
    </row>
    <row r="241" spans="1:8" ht="19.5" customHeight="1">
      <c r="A241" s="10"/>
      <c r="B241" s="27"/>
      <c r="C241" s="34"/>
      <c r="D241" s="11" t="str">
        <f t="shared" si="24"/>
        <v/>
      </c>
      <c r="E241" s="12" t="str">
        <f t="shared" si="25"/>
        <v/>
      </c>
      <c r="F241" s="19" t="str">
        <f t="shared" si="26"/>
        <v/>
      </c>
      <c r="G241" s="22" t="str">
        <f t="shared" si="27"/>
        <v/>
      </c>
      <c r="H241" s="13"/>
    </row>
    <row r="242" spans="1:8" ht="19.5" customHeight="1">
      <c r="A242" s="6"/>
      <c r="B242" s="26"/>
      <c r="C242" s="33"/>
      <c r="D242" s="7" t="str">
        <f t="shared" si="24"/>
        <v/>
      </c>
      <c r="E242" s="8" t="str">
        <f t="shared" si="25"/>
        <v/>
      </c>
      <c r="F242" s="18" t="str">
        <f t="shared" si="26"/>
        <v/>
      </c>
      <c r="G242" s="21" t="str">
        <f t="shared" si="27"/>
        <v/>
      </c>
      <c r="H242" s="9"/>
    </row>
    <row r="243" spans="1:8" ht="19.5" customHeight="1">
      <c r="A243" s="10"/>
      <c r="B243" s="27"/>
      <c r="C243" s="34"/>
      <c r="D243" s="11" t="str">
        <f t="shared" si="24"/>
        <v/>
      </c>
      <c r="E243" s="12" t="str">
        <f t="shared" si="25"/>
        <v/>
      </c>
      <c r="F243" s="19" t="str">
        <f t="shared" si="26"/>
        <v/>
      </c>
      <c r="G243" s="22" t="str">
        <f t="shared" si="27"/>
        <v/>
      </c>
      <c r="H243" s="13"/>
    </row>
    <row r="244" spans="1:8" ht="19.5" customHeight="1">
      <c r="A244" s="6"/>
      <c r="B244" s="26"/>
      <c r="C244" s="33"/>
      <c r="D244" s="7" t="str">
        <f t="shared" si="24"/>
        <v/>
      </c>
      <c r="E244" s="8" t="str">
        <f t="shared" si="25"/>
        <v/>
      </c>
      <c r="F244" s="18" t="str">
        <f t="shared" si="26"/>
        <v/>
      </c>
      <c r="G244" s="21" t="str">
        <f t="shared" si="27"/>
        <v/>
      </c>
      <c r="H244" s="9"/>
    </row>
    <row r="245" spans="1:8" ht="19.5" customHeight="1">
      <c r="A245" s="10"/>
      <c r="B245" s="27"/>
      <c r="C245" s="34"/>
      <c r="D245" s="11" t="str">
        <f t="shared" si="24"/>
        <v/>
      </c>
      <c r="E245" s="12" t="str">
        <f t="shared" si="25"/>
        <v/>
      </c>
      <c r="F245" s="19" t="str">
        <f t="shared" si="26"/>
        <v/>
      </c>
      <c r="G245" s="22" t="str">
        <f t="shared" si="27"/>
        <v/>
      </c>
      <c r="H245" s="13"/>
    </row>
    <row r="246" spans="1:8" ht="19.5" customHeight="1">
      <c r="A246" s="6"/>
      <c r="B246" s="26"/>
      <c r="C246" s="33"/>
      <c r="D246" s="7" t="str">
        <f t="shared" si="24"/>
        <v/>
      </c>
      <c r="E246" s="8" t="str">
        <f t="shared" si="25"/>
        <v/>
      </c>
      <c r="F246" s="18" t="str">
        <f t="shared" si="26"/>
        <v/>
      </c>
      <c r="G246" s="21" t="str">
        <f t="shared" si="27"/>
        <v/>
      </c>
      <c r="H246" s="9"/>
    </row>
    <row r="247" spans="1:8" ht="19.5" customHeight="1">
      <c r="A247" s="10"/>
      <c r="B247" s="27"/>
      <c r="C247" s="34"/>
      <c r="D247" s="11" t="str">
        <f t="shared" si="24"/>
        <v/>
      </c>
      <c r="E247" s="12" t="str">
        <f t="shared" si="25"/>
        <v/>
      </c>
      <c r="F247" s="19" t="str">
        <f t="shared" si="26"/>
        <v/>
      </c>
      <c r="G247" s="22" t="str">
        <f t="shared" si="27"/>
        <v/>
      </c>
      <c r="H247" s="13"/>
    </row>
    <row r="248" spans="1:8" ht="19.5" customHeight="1">
      <c r="A248" s="6"/>
      <c r="B248" s="26"/>
      <c r="C248" s="33"/>
      <c r="D248" s="7" t="str">
        <f t="shared" si="24"/>
        <v/>
      </c>
      <c r="E248" s="8" t="str">
        <f t="shared" si="25"/>
        <v/>
      </c>
      <c r="F248" s="18" t="str">
        <f t="shared" si="26"/>
        <v/>
      </c>
      <c r="G248" s="21" t="str">
        <f t="shared" si="27"/>
        <v/>
      </c>
      <c r="H248" s="9"/>
    </row>
    <row r="249" spans="1:8" ht="19.5" customHeight="1">
      <c r="A249" s="10"/>
      <c r="B249" s="27"/>
      <c r="C249" s="34"/>
      <c r="D249" s="11" t="str">
        <f t="shared" si="24"/>
        <v/>
      </c>
      <c r="E249" s="12" t="str">
        <f t="shared" si="25"/>
        <v/>
      </c>
      <c r="F249" s="19" t="str">
        <f t="shared" si="26"/>
        <v/>
      </c>
      <c r="G249" s="22" t="str">
        <f t="shared" si="27"/>
        <v/>
      </c>
      <c r="H249" s="13"/>
    </row>
    <row r="250" spans="1:8" ht="19.5" customHeight="1">
      <c r="A250" s="6"/>
      <c r="B250" s="26"/>
      <c r="C250" s="33"/>
      <c r="D250" s="7" t="str">
        <f t="shared" si="24"/>
        <v/>
      </c>
      <c r="E250" s="8" t="str">
        <f t="shared" si="25"/>
        <v/>
      </c>
      <c r="F250" s="18" t="str">
        <f t="shared" si="26"/>
        <v/>
      </c>
      <c r="G250" s="21" t="str">
        <f t="shared" si="27"/>
        <v/>
      </c>
      <c r="H250" s="9"/>
    </row>
    <row r="251" spans="1:8" ht="19.5" customHeight="1">
      <c r="A251" s="10"/>
      <c r="B251" s="27"/>
      <c r="C251" s="34"/>
      <c r="D251" s="11" t="str">
        <f t="shared" si="24"/>
        <v/>
      </c>
      <c r="E251" s="12" t="str">
        <f t="shared" si="25"/>
        <v/>
      </c>
      <c r="F251" s="19" t="str">
        <f t="shared" si="26"/>
        <v/>
      </c>
      <c r="G251" s="22" t="str">
        <f t="shared" si="27"/>
        <v/>
      </c>
      <c r="H251" s="13"/>
    </row>
    <row r="252" spans="1:8" ht="19.5" customHeight="1">
      <c r="A252" s="6"/>
      <c r="B252" s="26"/>
      <c r="C252" s="33"/>
      <c r="D252" s="7" t="str">
        <f t="shared" si="24"/>
        <v/>
      </c>
      <c r="E252" s="8" t="str">
        <f t="shared" si="25"/>
        <v/>
      </c>
      <c r="F252" s="18" t="str">
        <f t="shared" si="26"/>
        <v/>
      </c>
      <c r="G252" s="21" t="str">
        <f t="shared" si="27"/>
        <v/>
      </c>
      <c r="H252" s="9"/>
    </row>
    <row r="253" spans="1:8" ht="19.5" customHeight="1">
      <c r="A253" s="10"/>
      <c r="B253" s="27"/>
      <c r="C253" s="34"/>
      <c r="D253" s="11" t="str">
        <f t="shared" si="24"/>
        <v/>
      </c>
      <c r="E253" s="12" t="str">
        <f t="shared" si="25"/>
        <v/>
      </c>
      <c r="F253" s="19" t="str">
        <f t="shared" si="26"/>
        <v/>
      </c>
      <c r="G253" s="22" t="str">
        <f t="shared" si="27"/>
        <v/>
      </c>
      <c r="H253" s="13"/>
    </row>
    <row r="254" spans="1:8" ht="19.5" customHeight="1">
      <c r="A254" s="6"/>
      <c r="B254" s="26"/>
      <c r="C254" s="33"/>
      <c r="D254" s="7" t="str">
        <f t="shared" si="24"/>
        <v/>
      </c>
      <c r="E254" s="8" t="str">
        <f t="shared" si="25"/>
        <v/>
      </c>
      <c r="F254" s="18" t="str">
        <f t="shared" si="26"/>
        <v/>
      </c>
      <c r="G254" s="21" t="str">
        <f t="shared" si="27"/>
        <v/>
      </c>
      <c r="H254" s="9"/>
    </row>
    <row r="255" spans="1:8" ht="19.5" customHeight="1">
      <c r="A255" s="10"/>
      <c r="B255" s="27"/>
      <c r="C255" s="34"/>
      <c r="D255" s="11" t="str">
        <f t="shared" si="24"/>
        <v/>
      </c>
      <c r="E255" s="12" t="str">
        <f t="shared" si="25"/>
        <v/>
      </c>
      <c r="F255" s="19" t="str">
        <f t="shared" si="26"/>
        <v/>
      </c>
      <c r="G255" s="22" t="str">
        <f t="shared" si="27"/>
        <v/>
      </c>
      <c r="H255" s="13"/>
    </row>
    <row r="256" spans="1:8" ht="19.5" customHeight="1">
      <c r="A256" s="6"/>
      <c r="B256" s="26"/>
      <c r="C256" s="33"/>
      <c r="D256" s="7" t="str">
        <f t="shared" si="24"/>
        <v/>
      </c>
      <c r="E256" s="8" t="str">
        <f t="shared" si="25"/>
        <v/>
      </c>
      <c r="F256" s="18" t="str">
        <f t="shared" si="26"/>
        <v/>
      </c>
      <c r="G256" s="21" t="str">
        <f t="shared" si="27"/>
        <v/>
      </c>
      <c r="H256" s="9"/>
    </row>
    <row r="257" spans="1:8" ht="19.5" customHeight="1">
      <c r="A257" s="10"/>
      <c r="B257" s="27"/>
      <c r="C257" s="34"/>
      <c r="D257" s="11" t="str">
        <f t="shared" si="24"/>
        <v/>
      </c>
      <c r="E257" s="12" t="str">
        <f t="shared" si="25"/>
        <v/>
      </c>
      <c r="F257" s="19" t="str">
        <f t="shared" si="26"/>
        <v/>
      </c>
      <c r="G257" s="22" t="str">
        <f t="shared" si="27"/>
        <v/>
      </c>
      <c r="H257" s="13"/>
    </row>
    <row r="258" spans="1:8" ht="19.5" customHeight="1">
      <c r="A258" s="6"/>
      <c r="B258" s="26"/>
      <c r="C258" s="33"/>
      <c r="D258" s="7" t="str">
        <f t="shared" si="24"/>
        <v/>
      </c>
      <c r="E258" s="8" t="str">
        <f t="shared" si="25"/>
        <v/>
      </c>
      <c r="F258" s="18" t="str">
        <f t="shared" si="26"/>
        <v/>
      </c>
      <c r="G258" s="21" t="str">
        <f t="shared" si="27"/>
        <v/>
      </c>
      <c r="H258" s="9"/>
    </row>
    <row r="259" spans="1:8" ht="19.5" customHeight="1">
      <c r="A259" s="10"/>
      <c r="B259" s="27"/>
      <c r="C259" s="34"/>
      <c r="D259" s="11" t="str">
        <f t="shared" si="24"/>
        <v/>
      </c>
      <c r="E259" s="12" t="str">
        <f t="shared" si="25"/>
        <v/>
      </c>
      <c r="F259" s="19" t="str">
        <f t="shared" si="26"/>
        <v/>
      </c>
      <c r="G259" s="22" t="str">
        <f t="shared" si="27"/>
        <v/>
      </c>
      <c r="H259" s="13"/>
    </row>
    <row r="260" spans="1:8" ht="19.5" customHeight="1">
      <c r="A260" s="6"/>
      <c r="B260" s="26"/>
      <c r="C260" s="33"/>
      <c r="D260" s="7" t="str">
        <f t="shared" si="24"/>
        <v/>
      </c>
      <c r="E260" s="8" t="str">
        <f t="shared" si="25"/>
        <v/>
      </c>
      <c r="F260" s="18" t="str">
        <f t="shared" si="26"/>
        <v/>
      </c>
      <c r="G260" s="21" t="str">
        <f t="shared" si="27"/>
        <v/>
      </c>
      <c r="H260" s="9"/>
    </row>
    <row r="261" spans="1:8" ht="19.5" customHeight="1">
      <c r="A261" s="10"/>
      <c r="B261" s="27"/>
      <c r="C261" s="34"/>
      <c r="D261" s="11" t="str">
        <f t="shared" si="24"/>
        <v/>
      </c>
      <c r="E261" s="12" t="str">
        <f t="shared" si="25"/>
        <v/>
      </c>
      <c r="F261" s="19" t="str">
        <f t="shared" si="26"/>
        <v/>
      </c>
      <c r="G261" s="22" t="str">
        <f t="shared" si="27"/>
        <v/>
      </c>
      <c r="H261" s="13"/>
    </row>
    <row r="262" spans="1:8" ht="19.5" customHeight="1">
      <c r="A262" s="6"/>
      <c r="B262" s="26"/>
      <c r="C262" s="33"/>
      <c r="D262" s="7" t="str">
        <f t="shared" si="24"/>
        <v/>
      </c>
      <c r="E262" s="8" t="str">
        <f t="shared" si="25"/>
        <v/>
      </c>
      <c r="F262" s="18" t="str">
        <f t="shared" si="26"/>
        <v/>
      </c>
      <c r="G262" s="21" t="str">
        <f t="shared" si="27"/>
        <v/>
      </c>
      <c r="H262" s="9"/>
    </row>
    <row r="263" spans="1:8" ht="19.5" customHeight="1">
      <c r="A263" s="10"/>
      <c r="B263" s="27"/>
      <c r="C263" s="34"/>
      <c r="D263" s="11" t="str">
        <f t="shared" si="24"/>
        <v/>
      </c>
      <c r="E263" s="12" t="str">
        <f t="shared" si="25"/>
        <v/>
      </c>
      <c r="F263" s="19" t="str">
        <f t="shared" si="26"/>
        <v/>
      </c>
      <c r="G263" s="22" t="str">
        <f t="shared" si="27"/>
        <v/>
      </c>
      <c r="H263" s="13"/>
    </row>
    <row r="264" spans="1:8" ht="19.5" customHeight="1">
      <c r="A264" s="6"/>
      <c r="B264" s="26"/>
      <c r="C264" s="33"/>
      <c r="D264" s="7" t="str">
        <f t="shared" si="24"/>
        <v/>
      </c>
      <c r="E264" s="8" t="str">
        <f t="shared" si="25"/>
        <v/>
      </c>
      <c r="F264" s="18" t="str">
        <f t="shared" si="26"/>
        <v/>
      </c>
      <c r="G264" s="21" t="str">
        <f t="shared" si="27"/>
        <v/>
      </c>
      <c r="H264" s="9"/>
    </row>
    <row r="265" spans="1:8" ht="19.5" customHeight="1">
      <c r="A265" s="10"/>
      <c r="B265" s="27"/>
      <c r="C265" s="34"/>
      <c r="D265" s="11" t="str">
        <f t="shared" si="24"/>
        <v/>
      </c>
      <c r="E265" s="12" t="str">
        <f t="shared" si="25"/>
        <v/>
      </c>
      <c r="F265" s="19" t="str">
        <f t="shared" si="26"/>
        <v/>
      </c>
      <c r="G265" s="22" t="str">
        <f t="shared" si="27"/>
        <v/>
      </c>
      <c r="H265" s="13"/>
    </row>
    <row r="266" spans="1:8" ht="19.5" customHeight="1">
      <c r="A266" s="6"/>
      <c r="B266" s="26"/>
      <c r="C266" s="33"/>
      <c r="D266" s="7" t="str">
        <f t="shared" si="24"/>
        <v/>
      </c>
      <c r="E266" s="8" t="str">
        <f t="shared" si="25"/>
        <v/>
      </c>
      <c r="F266" s="18" t="str">
        <f t="shared" si="26"/>
        <v/>
      </c>
      <c r="G266" s="21" t="str">
        <f t="shared" si="27"/>
        <v/>
      </c>
      <c r="H266" s="9"/>
    </row>
    <row r="267" spans="1:8" ht="19.5" customHeight="1">
      <c r="A267" s="10"/>
      <c r="B267" s="27"/>
      <c r="C267" s="34"/>
      <c r="D267" s="11" t="str">
        <f t="shared" si="24"/>
        <v/>
      </c>
      <c r="E267" s="12" t="str">
        <f t="shared" si="25"/>
        <v/>
      </c>
      <c r="F267" s="19" t="str">
        <f t="shared" si="26"/>
        <v/>
      </c>
      <c r="G267" s="22" t="str">
        <f t="shared" si="27"/>
        <v/>
      </c>
      <c r="H267" s="13"/>
    </row>
    <row r="268" spans="1:8" ht="19.5" customHeight="1">
      <c r="A268" s="6"/>
      <c r="B268" s="26"/>
      <c r="C268" s="33"/>
      <c r="D268" s="7" t="str">
        <f t="shared" si="24"/>
        <v/>
      </c>
      <c r="E268" s="8" t="str">
        <f t="shared" si="25"/>
        <v/>
      </c>
      <c r="F268" s="18" t="str">
        <f t="shared" si="26"/>
        <v/>
      </c>
      <c r="G268" s="21" t="str">
        <f t="shared" si="27"/>
        <v/>
      </c>
      <c r="H268" s="9"/>
    </row>
    <row r="269" spans="1:8" ht="19.5" customHeight="1">
      <c r="A269" s="10"/>
      <c r="B269" s="27"/>
      <c r="C269" s="34"/>
      <c r="D269" s="11" t="str">
        <f t="shared" si="24"/>
        <v/>
      </c>
      <c r="E269" s="12" t="str">
        <f t="shared" si="25"/>
        <v/>
      </c>
      <c r="F269" s="19" t="str">
        <f t="shared" si="26"/>
        <v/>
      </c>
      <c r="G269" s="22" t="str">
        <f t="shared" si="27"/>
        <v/>
      </c>
      <c r="H269" s="13"/>
    </row>
    <row r="270" spans="1:8" ht="19.5" customHeight="1">
      <c r="A270" s="6"/>
      <c r="B270" s="26"/>
      <c r="C270" s="33"/>
      <c r="D270" s="7" t="str">
        <f t="shared" si="24"/>
        <v/>
      </c>
      <c r="E270" s="8" t="str">
        <f t="shared" si="25"/>
        <v/>
      </c>
      <c r="F270" s="18" t="str">
        <f t="shared" si="26"/>
        <v/>
      </c>
      <c r="G270" s="21" t="str">
        <f t="shared" si="27"/>
        <v/>
      </c>
      <c r="H270" s="9"/>
    </row>
    <row r="271" spans="1:8" ht="19.5" customHeight="1">
      <c r="A271" s="10"/>
      <c r="B271" s="27"/>
      <c r="C271" s="34"/>
      <c r="D271" s="11" t="str">
        <f t="shared" si="24"/>
        <v/>
      </c>
      <c r="E271" s="12" t="str">
        <f t="shared" si="25"/>
        <v/>
      </c>
      <c r="F271" s="19" t="str">
        <f t="shared" si="26"/>
        <v/>
      </c>
      <c r="G271" s="22" t="str">
        <f t="shared" si="27"/>
        <v/>
      </c>
      <c r="H271" s="13"/>
    </row>
    <row r="272" spans="1:8" ht="19.5" customHeight="1">
      <c r="A272" s="6"/>
      <c r="B272" s="26"/>
      <c r="C272" s="33"/>
      <c r="D272" s="7" t="str">
        <f t="shared" si="24"/>
        <v/>
      </c>
      <c r="E272" s="8" t="str">
        <f t="shared" si="25"/>
        <v/>
      </c>
      <c r="F272" s="18" t="str">
        <f t="shared" si="26"/>
        <v/>
      </c>
      <c r="G272" s="21" t="str">
        <f t="shared" si="27"/>
        <v/>
      </c>
      <c r="H272" s="9"/>
    </row>
    <row r="273" spans="1:8" ht="19.5" customHeight="1">
      <c r="A273" s="10"/>
      <c r="B273" s="27"/>
      <c r="C273" s="34"/>
      <c r="D273" s="11" t="str">
        <f t="shared" si="24"/>
        <v/>
      </c>
      <c r="E273" s="12" t="str">
        <f t="shared" si="25"/>
        <v/>
      </c>
      <c r="F273" s="19" t="str">
        <f t="shared" si="26"/>
        <v/>
      </c>
      <c r="G273" s="22" t="str">
        <f t="shared" si="27"/>
        <v/>
      </c>
      <c r="H273" s="13"/>
    </row>
    <row r="274" spans="1:8" ht="19.5" customHeight="1">
      <c r="A274" s="6"/>
      <c r="B274" s="26"/>
      <c r="C274" s="33"/>
      <c r="D274" s="7" t="str">
        <f t="shared" si="24"/>
        <v/>
      </c>
      <c r="E274" s="8" t="str">
        <f t="shared" si="25"/>
        <v/>
      </c>
      <c r="F274" s="18" t="str">
        <f t="shared" si="26"/>
        <v/>
      </c>
      <c r="G274" s="21" t="str">
        <f t="shared" si="27"/>
        <v/>
      </c>
      <c r="H274" s="9"/>
    </row>
    <row r="275" spans="1:8" ht="19.5" customHeight="1">
      <c r="A275" s="10"/>
      <c r="B275" s="27"/>
      <c r="C275" s="34"/>
      <c r="D275" s="11" t="str">
        <f t="shared" si="24"/>
        <v/>
      </c>
      <c r="E275" s="12" t="str">
        <f t="shared" si="25"/>
        <v/>
      </c>
      <c r="F275" s="19" t="str">
        <f t="shared" si="26"/>
        <v/>
      </c>
      <c r="G275" s="22" t="str">
        <f t="shared" si="27"/>
        <v/>
      </c>
      <c r="H275" s="13"/>
    </row>
    <row r="276" spans="1:8" ht="19.5" customHeight="1">
      <c r="A276" s="6"/>
      <c r="B276" s="26"/>
      <c r="C276" s="33"/>
      <c r="D276" s="7" t="str">
        <f t="shared" ref="D276:D339" si="28">IF(C276="","",C276*$B$1)</f>
        <v/>
      </c>
      <c r="E276" s="8" t="str">
        <f t="shared" ref="E276:E339" si="29">IF(C276="","",C276-D276)</f>
        <v/>
      </c>
      <c r="F276" s="18" t="str">
        <f t="shared" ref="F276:F339" si="30">IF(OR(B276="",C276=""),"",E276-B276)</f>
        <v/>
      </c>
      <c r="G276" s="21" t="str">
        <f t="shared" ref="G276:G339" si="31">IF(OR(B276="",B276=0),"",F276/B276)</f>
        <v/>
      </c>
      <c r="H276" s="9"/>
    </row>
    <row r="277" spans="1:8" ht="19.5" customHeight="1">
      <c r="A277" s="10"/>
      <c r="B277" s="27"/>
      <c r="C277" s="34"/>
      <c r="D277" s="11" t="str">
        <f t="shared" si="28"/>
        <v/>
      </c>
      <c r="E277" s="12" t="str">
        <f t="shared" si="29"/>
        <v/>
      </c>
      <c r="F277" s="19" t="str">
        <f t="shared" si="30"/>
        <v/>
      </c>
      <c r="G277" s="22" t="str">
        <f t="shared" si="31"/>
        <v/>
      </c>
      <c r="H277" s="13"/>
    </row>
    <row r="278" spans="1:8" ht="19.5" customHeight="1">
      <c r="A278" s="6"/>
      <c r="B278" s="26"/>
      <c r="C278" s="33"/>
      <c r="D278" s="7" t="str">
        <f t="shared" si="28"/>
        <v/>
      </c>
      <c r="E278" s="8" t="str">
        <f t="shared" si="29"/>
        <v/>
      </c>
      <c r="F278" s="18" t="str">
        <f t="shared" si="30"/>
        <v/>
      </c>
      <c r="G278" s="21" t="str">
        <f t="shared" si="31"/>
        <v/>
      </c>
      <c r="H278" s="9"/>
    </row>
    <row r="279" spans="1:8" ht="19.5" customHeight="1">
      <c r="A279" s="10"/>
      <c r="B279" s="27"/>
      <c r="C279" s="34"/>
      <c r="D279" s="11" t="str">
        <f t="shared" si="28"/>
        <v/>
      </c>
      <c r="E279" s="12" t="str">
        <f t="shared" si="29"/>
        <v/>
      </c>
      <c r="F279" s="19" t="str">
        <f t="shared" si="30"/>
        <v/>
      </c>
      <c r="G279" s="22" t="str">
        <f t="shared" si="31"/>
        <v/>
      </c>
      <c r="H279" s="13"/>
    </row>
    <row r="280" spans="1:8" ht="19.5" customHeight="1">
      <c r="A280" s="6"/>
      <c r="B280" s="26"/>
      <c r="C280" s="33"/>
      <c r="D280" s="7" t="str">
        <f t="shared" si="28"/>
        <v/>
      </c>
      <c r="E280" s="8" t="str">
        <f t="shared" si="29"/>
        <v/>
      </c>
      <c r="F280" s="18" t="str">
        <f t="shared" si="30"/>
        <v/>
      </c>
      <c r="G280" s="21" t="str">
        <f t="shared" si="31"/>
        <v/>
      </c>
      <c r="H280" s="9"/>
    </row>
    <row r="281" spans="1:8" ht="19.5" customHeight="1">
      <c r="A281" s="10"/>
      <c r="B281" s="27"/>
      <c r="C281" s="34"/>
      <c r="D281" s="11" t="str">
        <f t="shared" si="28"/>
        <v/>
      </c>
      <c r="E281" s="12" t="str">
        <f t="shared" si="29"/>
        <v/>
      </c>
      <c r="F281" s="19" t="str">
        <f t="shared" si="30"/>
        <v/>
      </c>
      <c r="G281" s="22" t="str">
        <f t="shared" si="31"/>
        <v/>
      </c>
      <c r="H281" s="13"/>
    </row>
    <row r="282" spans="1:8" ht="19.5" customHeight="1">
      <c r="A282" s="6"/>
      <c r="B282" s="26"/>
      <c r="C282" s="33"/>
      <c r="D282" s="7" t="str">
        <f t="shared" si="28"/>
        <v/>
      </c>
      <c r="E282" s="8" t="str">
        <f t="shared" si="29"/>
        <v/>
      </c>
      <c r="F282" s="18" t="str">
        <f t="shared" si="30"/>
        <v/>
      </c>
      <c r="G282" s="21" t="str">
        <f t="shared" si="31"/>
        <v/>
      </c>
      <c r="H282" s="9"/>
    </row>
    <row r="283" spans="1:8" ht="19.5" customHeight="1">
      <c r="A283" s="10"/>
      <c r="B283" s="27"/>
      <c r="C283" s="34"/>
      <c r="D283" s="11" t="str">
        <f t="shared" si="28"/>
        <v/>
      </c>
      <c r="E283" s="12" t="str">
        <f t="shared" si="29"/>
        <v/>
      </c>
      <c r="F283" s="19" t="str">
        <f t="shared" si="30"/>
        <v/>
      </c>
      <c r="G283" s="22" t="str">
        <f t="shared" si="31"/>
        <v/>
      </c>
      <c r="H283" s="13"/>
    </row>
    <row r="284" spans="1:8" ht="19.5" customHeight="1">
      <c r="A284" s="6"/>
      <c r="B284" s="26"/>
      <c r="C284" s="33"/>
      <c r="D284" s="7" t="str">
        <f t="shared" si="28"/>
        <v/>
      </c>
      <c r="E284" s="8" t="str">
        <f t="shared" si="29"/>
        <v/>
      </c>
      <c r="F284" s="18" t="str">
        <f t="shared" si="30"/>
        <v/>
      </c>
      <c r="G284" s="21" t="str">
        <f t="shared" si="31"/>
        <v/>
      </c>
      <c r="H284" s="9"/>
    </row>
    <row r="285" spans="1:8" ht="19.5" customHeight="1">
      <c r="A285" s="10"/>
      <c r="B285" s="27"/>
      <c r="C285" s="34"/>
      <c r="D285" s="11" t="str">
        <f t="shared" si="28"/>
        <v/>
      </c>
      <c r="E285" s="12" t="str">
        <f t="shared" si="29"/>
        <v/>
      </c>
      <c r="F285" s="19" t="str">
        <f t="shared" si="30"/>
        <v/>
      </c>
      <c r="G285" s="22" t="str">
        <f t="shared" si="31"/>
        <v/>
      </c>
      <c r="H285" s="13"/>
    </row>
    <row r="286" spans="1:8" ht="19.5" customHeight="1">
      <c r="A286" s="6"/>
      <c r="B286" s="26"/>
      <c r="C286" s="33"/>
      <c r="D286" s="7" t="str">
        <f t="shared" si="28"/>
        <v/>
      </c>
      <c r="E286" s="8" t="str">
        <f t="shared" si="29"/>
        <v/>
      </c>
      <c r="F286" s="18" t="str">
        <f t="shared" si="30"/>
        <v/>
      </c>
      <c r="G286" s="21" t="str">
        <f t="shared" si="31"/>
        <v/>
      </c>
      <c r="H286" s="9"/>
    </row>
    <row r="287" spans="1:8" ht="19.5" customHeight="1">
      <c r="A287" s="10"/>
      <c r="B287" s="27"/>
      <c r="C287" s="34"/>
      <c r="D287" s="11" t="str">
        <f t="shared" si="28"/>
        <v/>
      </c>
      <c r="E287" s="12" t="str">
        <f t="shared" si="29"/>
        <v/>
      </c>
      <c r="F287" s="19" t="str">
        <f t="shared" si="30"/>
        <v/>
      </c>
      <c r="G287" s="22" t="str">
        <f t="shared" si="31"/>
        <v/>
      </c>
      <c r="H287" s="13"/>
    </row>
    <row r="288" spans="1:8" ht="19.5" customHeight="1">
      <c r="A288" s="6"/>
      <c r="B288" s="26"/>
      <c r="C288" s="33"/>
      <c r="D288" s="7" t="str">
        <f t="shared" si="28"/>
        <v/>
      </c>
      <c r="E288" s="8" t="str">
        <f t="shared" si="29"/>
        <v/>
      </c>
      <c r="F288" s="18" t="str">
        <f t="shared" si="30"/>
        <v/>
      </c>
      <c r="G288" s="21" t="str">
        <f t="shared" si="31"/>
        <v/>
      </c>
      <c r="H288" s="9"/>
    </row>
    <row r="289" spans="1:8" ht="19.5" customHeight="1">
      <c r="A289" s="10"/>
      <c r="B289" s="27"/>
      <c r="C289" s="34"/>
      <c r="D289" s="11" t="str">
        <f t="shared" si="28"/>
        <v/>
      </c>
      <c r="E289" s="12" t="str">
        <f t="shared" si="29"/>
        <v/>
      </c>
      <c r="F289" s="19" t="str">
        <f t="shared" si="30"/>
        <v/>
      </c>
      <c r="G289" s="22" t="str">
        <f t="shared" si="31"/>
        <v/>
      </c>
      <c r="H289" s="13"/>
    </row>
    <row r="290" spans="1:8" ht="19.5" customHeight="1">
      <c r="A290" s="6"/>
      <c r="B290" s="26"/>
      <c r="C290" s="33"/>
      <c r="D290" s="7" t="str">
        <f t="shared" si="28"/>
        <v/>
      </c>
      <c r="E290" s="8" t="str">
        <f t="shared" si="29"/>
        <v/>
      </c>
      <c r="F290" s="18" t="str">
        <f t="shared" si="30"/>
        <v/>
      </c>
      <c r="G290" s="21" t="str">
        <f t="shared" si="31"/>
        <v/>
      </c>
      <c r="H290" s="9"/>
    </row>
    <row r="291" spans="1:8" ht="19.5" customHeight="1">
      <c r="A291" s="10"/>
      <c r="B291" s="27"/>
      <c r="C291" s="34"/>
      <c r="D291" s="11" t="str">
        <f t="shared" si="28"/>
        <v/>
      </c>
      <c r="E291" s="12" t="str">
        <f t="shared" si="29"/>
        <v/>
      </c>
      <c r="F291" s="19" t="str">
        <f t="shared" si="30"/>
        <v/>
      </c>
      <c r="G291" s="22" t="str">
        <f t="shared" si="31"/>
        <v/>
      </c>
      <c r="H291" s="13"/>
    </row>
    <row r="292" spans="1:8" ht="19.5" customHeight="1">
      <c r="A292" s="6"/>
      <c r="B292" s="26"/>
      <c r="C292" s="33"/>
      <c r="D292" s="7" t="str">
        <f t="shared" si="28"/>
        <v/>
      </c>
      <c r="E292" s="8" t="str">
        <f t="shared" si="29"/>
        <v/>
      </c>
      <c r="F292" s="18" t="str">
        <f t="shared" si="30"/>
        <v/>
      </c>
      <c r="G292" s="21" t="str">
        <f t="shared" si="31"/>
        <v/>
      </c>
      <c r="H292" s="9"/>
    </row>
    <row r="293" spans="1:8" ht="19.5" customHeight="1">
      <c r="A293" s="10"/>
      <c r="B293" s="27"/>
      <c r="C293" s="34"/>
      <c r="D293" s="11" t="str">
        <f t="shared" si="28"/>
        <v/>
      </c>
      <c r="E293" s="12" t="str">
        <f t="shared" si="29"/>
        <v/>
      </c>
      <c r="F293" s="19" t="str">
        <f t="shared" si="30"/>
        <v/>
      </c>
      <c r="G293" s="22" t="str">
        <f t="shared" si="31"/>
        <v/>
      </c>
      <c r="H293" s="13"/>
    </row>
    <row r="294" spans="1:8" ht="19.5" customHeight="1">
      <c r="A294" s="6"/>
      <c r="B294" s="26"/>
      <c r="C294" s="33"/>
      <c r="D294" s="7" t="str">
        <f t="shared" si="28"/>
        <v/>
      </c>
      <c r="E294" s="8" t="str">
        <f t="shared" si="29"/>
        <v/>
      </c>
      <c r="F294" s="18" t="str">
        <f t="shared" si="30"/>
        <v/>
      </c>
      <c r="G294" s="21" t="str">
        <f t="shared" si="31"/>
        <v/>
      </c>
      <c r="H294" s="9"/>
    </row>
    <row r="295" spans="1:8" ht="19.5" customHeight="1">
      <c r="A295" s="10"/>
      <c r="B295" s="27"/>
      <c r="C295" s="34"/>
      <c r="D295" s="11" t="str">
        <f t="shared" si="28"/>
        <v/>
      </c>
      <c r="E295" s="12" t="str">
        <f t="shared" si="29"/>
        <v/>
      </c>
      <c r="F295" s="19" t="str">
        <f t="shared" si="30"/>
        <v/>
      </c>
      <c r="G295" s="22" t="str">
        <f t="shared" si="31"/>
        <v/>
      </c>
      <c r="H295" s="13"/>
    </row>
    <row r="296" spans="1:8" ht="19.5" customHeight="1">
      <c r="A296" s="6"/>
      <c r="B296" s="26"/>
      <c r="C296" s="33"/>
      <c r="D296" s="7" t="str">
        <f t="shared" si="28"/>
        <v/>
      </c>
      <c r="E296" s="8" t="str">
        <f t="shared" si="29"/>
        <v/>
      </c>
      <c r="F296" s="18" t="str">
        <f t="shared" si="30"/>
        <v/>
      </c>
      <c r="G296" s="21" t="str">
        <f t="shared" si="31"/>
        <v/>
      </c>
      <c r="H296" s="9"/>
    </row>
    <row r="297" spans="1:8" ht="19.5" customHeight="1">
      <c r="A297" s="10"/>
      <c r="B297" s="27"/>
      <c r="C297" s="34"/>
      <c r="D297" s="11" t="str">
        <f t="shared" si="28"/>
        <v/>
      </c>
      <c r="E297" s="12" t="str">
        <f t="shared" si="29"/>
        <v/>
      </c>
      <c r="F297" s="19" t="str">
        <f t="shared" si="30"/>
        <v/>
      </c>
      <c r="G297" s="22" t="str">
        <f t="shared" si="31"/>
        <v/>
      </c>
      <c r="H297" s="13"/>
    </row>
    <row r="298" spans="1:8" ht="19.5" customHeight="1">
      <c r="A298" s="6"/>
      <c r="B298" s="26"/>
      <c r="C298" s="33"/>
      <c r="D298" s="7" t="str">
        <f t="shared" si="28"/>
        <v/>
      </c>
      <c r="E298" s="8" t="str">
        <f t="shared" si="29"/>
        <v/>
      </c>
      <c r="F298" s="18" t="str">
        <f t="shared" si="30"/>
        <v/>
      </c>
      <c r="G298" s="21" t="str">
        <f t="shared" si="31"/>
        <v/>
      </c>
      <c r="H298" s="9"/>
    </row>
    <row r="299" spans="1:8" ht="19.5" customHeight="1">
      <c r="A299" s="10"/>
      <c r="B299" s="27"/>
      <c r="C299" s="34"/>
      <c r="D299" s="11" t="str">
        <f t="shared" si="28"/>
        <v/>
      </c>
      <c r="E299" s="12" t="str">
        <f t="shared" si="29"/>
        <v/>
      </c>
      <c r="F299" s="19" t="str">
        <f t="shared" si="30"/>
        <v/>
      </c>
      <c r="G299" s="22" t="str">
        <f t="shared" si="31"/>
        <v/>
      </c>
      <c r="H299" s="13"/>
    </row>
    <row r="300" spans="1:8" ht="19.5" customHeight="1">
      <c r="A300" s="6"/>
      <c r="B300" s="26"/>
      <c r="C300" s="33"/>
      <c r="D300" s="7" t="str">
        <f t="shared" si="28"/>
        <v/>
      </c>
      <c r="E300" s="8" t="str">
        <f t="shared" si="29"/>
        <v/>
      </c>
      <c r="F300" s="18" t="str">
        <f t="shared" si="30"/>
        <v/>
      </c>
      <c r="G300" s="21" t="str">
        <f t="shared" si="31"/>
        <v/>
      </c>
      <c r="H300" s="9"/>
    </row>
    <row r="301" spans="1:8" ht="19.5" customHeight="1">
      <c r="A301" s="10"/>
      <c r="B301" s="27"/>
      <c r="C301" s="34"/>
      <c r="D301" s="11" t="str">
        <f t="shared" si="28"/>
        <v/>
      </c>
      <c r="E301" s="12" t="str">
        <f t="shared" si="29"/>
        <v/>
      </c>
      <c r="F301" s="19" t="str">
        <f t="shared" si="30"/>
        <v/>
      </c>
      <c r="G301" s="22" t="str">
        <f t="shared" si="31"/>
        <v/>
      </c>
      <c r="H301" s="13"/>
    </row>
    <row r="302" spans="1:8" ht="19.5" customHeight="1">
      <c r="A302" s="6"/>
      <c r="B302" s="26"/>
      <c r="C302" s="33"/>
      <c r="D302" s="7" t="str">
        <f t="shared" si="28"/>
        <v/>
      </c>
      <c r="E302" s="8" t="str">
        <f t="shared" si="29"/>
        <v/>
      </c>
      <c r="F302" s="18" t="str">
        <f t="shared" si="30"/>
        <v/>
      </c>
      <c r="G302" s="21" t="str">
        <f t="shared" si="31"/>
        <v/>
      </c>
      <c r="H302" s="9"/>
    </row>
    <row r="303" spans="1:8" ht="19.5" customHeight="1">
      <c r="A303" s="10"/>
      <c r="B303" s="27"/>
      <c r="C303" s="34"/>
      <c r="D303" s="11" t="str">
        <f t="shared" si="28"/>
        <v/>
      </c>
      <c r="E303" s="12" t="str">
        <f t="shared" si="29"/>
        <v/>
      </c>
      <c r="F303" s="19" t="str">
        <f t="shared" si="30"/>
        <v/>
      </c>
      <c r="G303" s="22" t="str">
        <f t="shared" si="31"/>
        <v/>
      </c>
      <c r="H303" s="13"/>
    </row>
    <row r="304" spans="1:8" ht="19.5" customHeight="1">
      <c r="A304" s="6"/>
      <c r="B304" s="26"/>
      <c r="C304" s="33"/>
      <c r="D304" s="7" t="str">
        <f t="shared" si="28"/>
        <v/>
      </c>
      <c r="E304" s="8" t="str">
        <f t="shared" si="29"/>
        <v/>
      </c>
      <c r="F304" s="18" t="str">
        <f t="shared" si="30"/>
        <v/>
      </c>
      <c r="G304" s="21" t="str">
        <f t="shared" si="31"/>
        <v/>
      </c>
      <c r="H304" s="9"/>
    </row>
    <row r="305" spans="1:8" ht="19.5" customHeight="1">
      <c r="A305" s="10"/>
      <c r="B305" s="27"/>
      <c r="C305" s="34"/>
      <c r="D305" s="11" t="str">
        <f t="shared" si="28"/>
        <v/>
      </c>
      <c r="E305" s="12" t="str">
        <f t="shared" si="29"/>
        <v/>
      </c>
      <c r="F305" s="19" t="str">
        <f t="shared" si="30"/>
        <v/>
      </c>
      <c r="G305" s="22" t="str">
        <f t="shared" si="31"/>
        <v/>
      </c>
      <c r="H305" s="13"/>
    </row>
    <row r="306" spans="1:8" ht="19.5" customHeight="1">
      <c r="A306" s="6"/>
      <c r="B306" s="26"/>
      <c r="C306" s="33"/>
      <c r="D306" s="7" t="str">
        <f t="shared" si="28"/>
        <v/>
      </c>
      <c r="E306" s="8" t="str">
        <f t="shared" si="29"/>
        <v/>
      </c>
      <c r="F306" s="18" t="str">
        <f t="shared" si="30"/>
        <v/>
      </c>
      <c r="G306" s="21" t="str">
        <f t="shared" si="31"/>
        <v/>
      </c>
      <c r="H306" s="9"/>
    </row>
    <row r="307" spans="1:8" ht="19.5" customHeight="1">
      <c r="A307" s="10"/>
      <c r="B307" s="27"/>
      <c r="C307" s="34"/>
      <c r="D307" s="11" t="str">
        <f t="shared" si="28"/>
        <v/>
      </c>
      <c r="E307" s="12" t="str">
        <f t="shared" si="29"/>
        <v/>
      </c>
      <c r="F307" s="19" t="str">
        <f t="shared" si="30"/>
        <v/>
      </c>
      <c r="G307" s="22" t="str">
        <f t="shared" si="31"/>
        <v/>
      </c>
      <c r="H307" s="13"/>
    </row>
    <row r="308" spans="1:8" ht="19.5" customHeight="1">
      <c r="A308" s="6"/>
      <c r="B308" s="26"/>
      <c r="C308" s="33"/>
      <c r="D308" s="7" t="str">
        <f t="shared" si="28"/>
        <v/>
      </c>
      <c r="E308" s="8" t="str">
        <f t="shared" si="29"/>
        <v/>
      </c>
      <c r="F308" s="18" t="str">
        <f t="shared" si="30"/>
        <v/>
      </c>
      <c r="G308" s="21" t="str">
        <f t="shared" si="31"/>
        <v/>
      </c>
      <c r="H308" s="9"/>
    </row>
    <row r="309" spans="1:8" ht="19.5" customHeight="1">
      <c r="A309" s="10"/>
      <c r="B309" s="27"/>
      <c r="C309" s="34"/>
      <c r="D309" s="11" t="str">
        <f t="shared" si="28"/>
        <v/>
      </c>
      <c r="E309" s="12" t="str">
        <f t="shared" si="29"/>
        <v/>
      </c>
      <c r="F309" s="19" t="str">
        <f t="shared" si="30"/>
        <v/>
      </c>
      <c r="G309" s="22" t="str">
        <f t="shared" si="31"/>
        <v/>
      </c>
      <c r="H309" s="13"/>
    </row>
    <row r="310" spans="1:8" ht="19.5" customHeight="1">
      <c r="A310" s="6"/>
      <c r="B310" s="26"/>
      <c r="C310" s="33"/>
      <c r="D310" s="7" t="str">
        <f t="shared" si="28"/>
        <v/>
      </c>
      <c r="E310" s="8" t="str">
        <f t="shared" si="29"/>
        <v/>
      </c>
      <c r="F310" s="18" t="str">
        <f t="shared" si="30"/>
        <v/>
      </c>
      <c r="G310" s="21" t="str">
        <f t="shared" si="31"/>
        <v/>
      </c>
      <c r="H310" s="9"/>
    </row>
    <row r="311" spans="1:8" ht="19.5" customHeight="1">
      <c r="A311" s="10"/>
      <c r="B311" s="27"/>
      <c r="C311" s="34"/>
      <c r="D311" s="11" t="str">
        <f t="shared" si="28"/>
        <v/>
      </c>
      <c r="E311" s="12" t="str">
        <f t="shared" si="29"/>
        <v/>
      </c>
      <c r="F311" s="19" t="str">
        <f t="shared" si="30"/>
        <v/>
      </c>
      <c r="G311" s="22" t="str">
        <f t="shared" si="31"/>
        <v/>
      </c>
      <c r="H311" s="13"/>
    </row>
    <row r="312" spans="1:8" ht="19.5" customHeight="1">
      <c r="A312" s="6"/>
      <c r="B312" s="26"/>
      <c r="C312" s="33"/>
      <c r="D312" s="7" t="str">
        <f t="shared" si="28"/>
        <v/>
      </c>
      <c r="E312" s="8" t="str">
        <f t="shared" si="29"/>
        <v/>
      </c>
      <c r="F312" s="18" t="str">
        <f t="shared" si="30"/>
        <v/>
      </c>
      <c r="G312" s="21" t="str">
        <f t="shared" si="31"/>
        <v/>
      </c>
      <c r="H312" s="9"/>
    </row>
    <row r="313" spans="1:8" ht="19.5" customHeight="1">
      <c r="A313" s="10"/>
      <c r="B313" s="27"/>
      <c r="C313" s="34"/>
      <c r="D313" s="11" t="str">
        <f t="shared" si="28"/>
        <v/>
      </c>
      <c r="E313" s="12" t="str">
        <f t="shared" si="29"/>
        <v/>
      </c>
      <c r="F313" s="19" t="str">
        <f t="shared" si="30"/>
        <v/>
      </c>
      <c r="G313" s="22" t="str">
        <f t="shared" si="31"/>
        <v/>
      </c>
      <c r="H313" s="13"/>
    </row>
    <row r="314" spans="1:8" ht="19.5" customHeight="1">
      <c r="A314" s="6"/>
      <c r="B314" s="26"/>
      <c r="C314" s="33"/>
      <c r="D314" s="7" t="str">
        <f t="shared" si="28"/>
        <v/>
      </c>
      <c r="E314" s="8" t="str">
        <f t="shared" si="29"/>
        <v/>
      </c>
      <c r="F314" s="18" t="str">
        <f t="shared" si="30"/>
        <v/>
      </c>
      <c r="G314" s="21" t="str">
        <f t="shared" si="31"/>
        <v/>
      </c>
      <c r="H314" s="9"/>
    </row>
    <row r="315" spans="1:8" ht="19.5" customHeight="1">
      <c r="A315" s="10"/>
      <c r="B315" s="27"/>
      <c r="C315" s="34"/>
      <c r="D315" s="11" t="str">
        <f t="shared" si="28"/>
        <v/>
      </c>
      <c r="E315" s="12" t="str">
        <f t="shared" si="29"/>
        <v/>
      </c>
      <c r="F315" s="19" t="str">
        <f t="shared" si="30"/>
        <v/>
      </c>
      <c r="G315" s="22" t="str">
        <f t="shared" si="31"/>
        <v/>
      </c>
      <c r="H315" s="13"/>
    </row>
    <row r="316" spans="1:8" ht="19.5" customHeight="1">
      <c r="A316" s="6"/>
      <c r="B316" s="26"/>
      <c r="C316" s="33"/>
      <c r="D316" s="7" t="str">
        <f t="shared" si="28"/>
        <v/>
      </c>
      <c r="E316" s="8" t="str">
        <f t="shared" si="29"/>
        <v/>
      </c>
      <c r="F316" s="18" t="str">
        <f t="shared" si="30"/>
        <v/>
      </c>
      <c r="G316" s="21" t="str">
        <f t="shared" si="31"/>
        <v/>
      </c>
      <c r="H316" s="9"/>
    </row>
    <row r="317" spans="1:8" ht="19.5" customHeight="1">
      <c r="A317" s="10"/>
      <c r="B317" s="27"/>
      <c r="C317" s="34"/>
      <c r="D317" s="11" t="str">
        <f t="shared" si="28"/>
        <v/>
      </c>
      <c r="E317" s="12" t="str">
        <f t="shared" si="29"/>
        <v/>
      </c>
      <c r="F317" s="19" t="str">
        <f t="shared" si="30"/>
        <v/>
      </c>
      <c r="G317" s="22" t="str">
        <f t="shared" si="31"/>
        <v/>
      </c>
      <c r="H317" s="13"/>
    </row>
    <row r="318" spans="1:8" ht="19.5" customHeight="1">
      <c r="A318" s="6"/>
      <c r="B318" s="26"/>
      <c r="C318" s="33"/>
      <c r="D318" s="7" t="str">
        <f t="shared" si="28"/>
        <v/>
      </c>
      <c r="E318" s="8" t="str">
        <f t="shared" si="29"/>
        <v/>
      </c>
      <c r="F318" s="18" t="str">
        <f t="shared" si="30"/>
        <v/>
      </c>
      <c r="G318" s="21" t="str">
        <f t="shared" si="31"/>
        <v/>
      </c>
      <c r="H318" s="9"/>
    </row>
    <row r="319" spans="1:8" ht="19.5" customHeight="1">
      <c r="A319" s="10"/>
      <c r="B319" s="27"/>
      <c r="C319" s="34"/>
      <c r="D319" s="11" t="str">
        <f t="shared" si="28"/>
        <v/>
      </c>
      <c r="E319" s="12" t="str">
        <f t="shared" si="29"/>
        <v/>
      </c>
      <c r="F319" s="19" t="str">
        <f t="shared" si="30"/>
        <v/>
      </c>
      <c r="G319" s="22" t="str">
        <f t="shared" si="31"/>
        <v/>
      </c>
      <c r="H319" s="13"/>
    </row>
    <row r="320" spans="1:8" ht="19.5" customHeight="1">
      <c r="A320" s="6"/>
      <c r="B320" s="26"/>
      <c r="C320" s="33"/>
      <c r="D320" s="7" t="str">
        <f t="shared" si="28"/>
        <v/>
      </c>
      <c r="E320" s="8" t="str">
        <f t="shared" si="29"/>
        <v/>
      </c>
      <c r="F320" s="18" t="str">
        <f t="shared" si="30"/>
        <v/>
      </c>
      <c r="G320" s="21" t="str">
        <f t="shared" si="31"/>
        <v/>
      </c>
      <c r="H320" s="9"/>
    </row>
    <row r="321" spans="1:8" ht="19.5" customHeight="1">
      <c r="A321" s="10"/>
      <c r="B321" s="27"/>
      <c r="C321" s="34"/>
      <c r="D321" s="11" t="str">
        <f t="shared" si="28"/>
        <v/>
      </c>
      <c r="E321" s="12" t="str">
        <f t="shared" si="29"/>
        <v/>
      </c>
      <c r="F321" s="19" t="str">
        <f t="shared" si="30"/>
        <v/>
      </c>
      <c r="G321" s="22" t="str">
        <f t="shared" si="31"/>
        <v/>
      </c>
      <c r="H321" s="13"/>
    </row>
    <row r="322" spans="1:8" ht="19.5" customHeight="1">
      <c r="A322" s="6"/>
      <c r="B322" s="26"/>
      <c r="C322" s="33"/>
      <c r="D322" s="7" t="str">
        <f t="shared" si="28"/>
        <v/>
      </c>
      <c r="E322" s="8" t="str">
        <f t="shared" si="29"/>
        <v/>
      </c>
      <c r="F322" s="18" t="str">
        <f t="shared" si="30"/>
        <v/>
      </c>
      <c r="G322" s="21" t="str">
        <f t="shared" si="31"/>
        <v/>
      </c>
      <c r="H322" s="9"/>
    </row>
    <row r="323" spans="1:8" ht="19.5" customHeight="1">
      <c r="A323" s="10"/>
      <c r="B323" s="27"/>
      <c r="C323" s="34"/>
      <c r="D323" s="11" t="str">
        <f t="shared" si="28"/>
        <v/>
      </c>
      <c r="E323" s="12" t="str">
        <f t="shared" si="29"/>
        <v/>
      </c>
      <c r="F323" s="19" t="str">
        <f t="shared" si="30"/>
        <v/>
      </c>
      <c r="G323" s="22" t="str">
        <f t="shared" si="31"/>
        <v/>
      </c>
      <c r="H323" s="13"/>
    </row>
    <row r="324" spans="1:8" ht="19.5" customHeight="1">
      <c r="A324" s="6"/>
      <c r="B324" s="26"/>
      <c r="C324" s="33"/>
      <c r="D324" s="7" t="str">
        <f t="shared" si="28"/>
        <v/>
      </c>
      <c r="E324" s="8" t="str">
        <f t="shared" si="29"/>
        <v/>
      </c>
      <c r="F324" s="18" t="str">
        <f t="shared" si="30"/>
        <v/>
      </c>
      <c r="G324" s="21" t="str">
        <f t="shared" si="31"/>
        <v/>
      </c>
      <c r="H324" s="9"/>
    </row>
    <row r="325" spans="1:8" ht="19.5" customHeight="1">
      <c r="A325" s="10"/>
      <c r="B325" s="27"/>
      <c r="C325" s="34"/>
      <c r="D325" s="11" t="str">
        <f t="shared" si="28"/>
        <v/>
      </c>
      <c r="E325" s="12" t="str">
        <f t="shared" si="29"/>
        <v/>
      </c>
      <c r="F325" s="19" t="str">
        <f t="shared" si="30"/>
        <v/>
      </c>
      <c r="G325" s="22" t="str">
        <f t="shared" si="31"/>
        <v/>
      </c>
      <c r="H325" s="13"/>
    </row>
    <row r="326" spans="1:8" ht="19.5" customHeight="1">
      <c r="A326" s="6"/>
      <c r="B326" s="26"/>
      <c r="C326" s="33"/>
      <c r="D326" s="7" t="str">
        <f t="shared" si="28"/>
        <v/>
      </c>
      <c r="E326" s="8" t="str">
        <f t="shared" si="29"/>
        <v/>
      </c>
      <c r="F326" s="18" t="str">
        <f t="shared" si="30"/>
        <v/>
      </c>
      <c r="G326" s="21" t="str">
        <f t="shared" si="31"/>
        <v/>
      </c>
      <c r="H326" s="9"/>
    </row>
    <row r="327" spans="1:8" ht="19.5" customHeight="1">
      <c r="A327" s="10"/>
      <c r="B327" s="27"/>
      <c r="C327" s="34"/>
      <c r="D327" s="11" t="str">
        <f t="shared" si="28"/>
        <v/>
      </c>
      <c r="E327" s="12" t="str">
        <f t="shared" si="29"/>
        <v/>
      </c>
      <c r="F327" s="19" t="str">
        <f t="shared" si="30"/>
        <v/>
      </c>
      <c r="G327" s="22" t="str">
        <f t="shared" si="31"/>
        <v/>
      </c>
      <c r="H327" s="13"/>
    </row>
    <row r="328" spans="1:8" ht="19.5" customHeight="1">
      <c r="A328" s="6"/>
      <c r="B328" s="26"/>
      <c r="C328" s="33"/>
      <c r="D328" s="7" t="str">
        <f t="shared" si="28"/>
        <v/>
      </c>
      <c r="E328" s="8" t="str">
        <f t="shared" si="29"/>
        <v/>
      </c>
      <c r="F328" s="18" t="str">
        <f t="shared" si="30"/>
        <v/>
      </c>
      <c r="G328" s="21" t="str">
        <f t="shared" si="31"/>
        <v/>
      </c>
      <c r="H328" s="9"/>
    </row>
    <row r="329" spans="1:8" ht="19.5" customHeight="1">
      <c r="A329" s="10"/>
      <c r="B329" s="27"/>
      <c r="C329" s="34"/>
      <c r="D329" s="11" t="str">
        <f t="shared" si="28"/>
        <v/>
      </c>
      <c r="E329" s="12" t="str">
        <f t="shared" si="29"/>
        <v/>
      </c>
      <c r="F329" s="19" t="str">
        <f t="shared" si="30"/>
        <v/>
      </c>
      <c r="G329" s="22" t="str">
        <f t="shared" si="31"/>
        <v/>
      </c>
      <c r="H329" s="13"/>
    </row>
    <row r="330" spans="1:8" ht="19.5" customHeight="1">
      <c r="A330" s="6"/>
      <c r="B330" s="26"/>
      <c r="C330" s="33"/>
      <c r="D330" s="7" t="str">
        <f t="shared" si="28"/>
        <v/>
      </c>
      <c r="E330" s="8" t="str">
        <f t="shared" si="29"/>
        <v/>
      </c>
      <c r="F330" s="18" t="str">
        <f t="shared" si="30"/>
        <v/>
      </c>
      <c r="G330" s="21" t="str">
        <f t="shared" si="31"/>
        <v/>
      </c>
      <c r="H330" s="9"/>
    </row>
    <row r="331" spans="1:8" ht="19.5" customHeight="1">
      <c r="A331" s="10"/>
      <c r="B331" s="27"/>
      <c r="C331" s="34"/>
      <c r="D331" s="11" t="str">
        <f t="shared" si="28"/>
        <v/>
      </c>
      <c r="E331" s="12" t="str">
        <f t="shared" si="29"/>
        <v/>
      </c>
      <c r="F331" s="19" t="str">
        <f t="shared" si="30"/>
        <v/>
      </c>
      <c r="G331" s="22" t="str">
        <f t="shared" si="31"/>
        <v/>
      </c>
      <c r="H331" s="13"/>
    </row>
    <row r="332" spans="1:8" ht="19.5" customHeight="1">
      <c r="A332" s="6"/>
      <c r="B332" s="26"/>
      <c r="C332" s="33"/>
      <c r="D332" s="7" t="str">
        <f t="shared" si="28"/>
        <v/>
      </c>
      <c r="E332" s="8" t="str">
        <f t="shared" si="29"/>
        <v/>
      </c>
      <c r="F332" s="18" t="str">
        <f t="shared" si="30"/>
        <v/>
      </c>
      <c r="G332" s="21" t="str">
        <f t="shared" si="31"/>
        <v/>
      </c>
      <c r="H332" s="9"/>
    </row>
    <row r="333" spans="1:8" ht="19.5" customHeight="1">
      <c r="A333" s="10"/>
      <c r="B333" s="27"/>
      <c r="C333" s="34"/>
      <c r="D333" s="11" t="str">
        <f t="shared" si="28"/>
        <v/>
      </c>
      <c r="E333" s="12" t="str">
        <f t="shared" si="29"/>
        <v/>
      </c>
      <c r="F333" s="19" t="str">
        <f t="shared" si="30"/>
        <v/>
      </c>
      <c r="G333" s="22" t="str">
        <f t="shared" si="31"/>
        <v/>
      </c>
      <c r="H333" s="13"/>
    </row>
    <row r="334" spans="1:8" ht="19.5" customHeight="1">
      <c r="A334" s="6"/>
      <c r="B334" s="26"/>
      <c r="C334" s="33"/>
      <c r="D334" s="7" t="str">
        <f t="shared" si="28"/>
        <v/>
      </c>
      <c r="E334" s="8" t="str">
        <f t="shared" si="29"/>
        <v/>
      </c>
      <c r="F334" s="18" t="str">
        <f t="shared" si="30"/>
        <v/>
      </c>
      <c r="G334" s="21" t="str">
        <f t="shared" si="31"/>
        <v/>
      </c>
      <c r="H334" s="9"/>
    </row>
    <row r="335" spans="1:8" ht="19.5" customHeight="1">
      <c r="A335" s="10"/>
      <c r="B335" s="27"/>
      <c r="C335" s="34"/>
      <c r="D335" s="11" t="str">
        <f t="shared" si="28"/>
        <v/>
      </c>
      <c r="E335" s="12" t="str">
        <f t="shared" si="29"/>
        <v/>
      </c>
      <c r="F335" s="19" t="str">
        <f t="shared" si="30"/>
        <v/>
      </c>
      <c r="G335" s="22" t="str">
        <f t="shared" si="31"/>
        <v/>
      </c>
      <c r="H335" s="13"/>
    </row>
    <row r="336" spans="1:8" ht="19.5" customHeight="1">
      <c r="A336" s="6"/>
      <c r="B336" s="26"/>
      <c r="C336" s="33"/>
      <c r="D336" s="7" t="str">
        <f t="shared" si="28"/>
        <v/>
      </c>
      <c r="E336" s="8" t="str">
        <f t="shared" si="29"/>
        <v/>
      </c>
      <c r="F336" s="18" t="str">
        <f t="shared" si="30"/>
        <v/>
      </c>
      <c r="G336" s="21" t="str">
        <f t="shared" si="31"/>
        <v/>
      </c>
      <c r="H336" s="9"/>
    </row>
    <row r="337" spans="1:8" ht="19.5" customHeight="1">
      <c r="A337" s="10"/>
      <c r="B337" s="27"/>
      <c r="C337" s="34"/>
      <c r="D337" s="11" t="str">
        <f t="shared" si="28"/>
        <v/>
      </c>
      <c r="E337" s="12" t="str">
        <f t="shared" si="29"/>
        <v/>
      </c>
      <c r="F337" s="19" t="str">
        <f t="shared" si="30"/>
        <v/>
      </c>
      <c r="G337" s="22" t="str">
        <f t="shared" si="31"/>
        <v/>
      </c>
      <c r="H337" s="13"/>
    </row>
    <row r="338" spans="1:8" ht="19.5" customHeight="1">
      <c r="A338" s="6"/>
      <c r="B338" s="26"/>
      <c r="C338" s="33"/>
      <c r="D338" s="7" t="str">
        <f t="shared" si="28"/>
        <v/>
      </c>
      <c r="E338" s="8" t="str">
        <f t="shared" si="29"/>
        <v/>
      </c>
      <c r="F338" s="18" t="str">
        <f t="shared" si="30"/>
        <v/>
      </c>
      <c r="G338" s="21" t="str">
        <f t="shared" si="31"/>
        <v/>
      </c>
      <c r="H338" s="9"/>
    </row>
    <row r="339" spans="1:8" ht="19.5" customHeight="1">
      <c r="A339" s="10"/>
      <c r="B339" s="27"/>
      <c r="C339" s="34"/>
      <c r="D339" s="11" t="str">
        <f t="shared" si="28"/>
        <v/>
      </c>
      <c r="E339" s="12" t="str">
        <f t="shared" si="29"/>
        <v/>
      </c>
      <c r="F339" s="19" t="str">
        <f t="shared" si="30"/>
        <v/>
      </c>
      <c r="G339" s="22" t="str">
        <f t="shared" si="31"/>
        <v/>
      </c>
      <c r="H339" s="13"/>
    </row>
    <row r="340" spans="1:8" ht="19.5" customHeight="1">
      <c r="A340" s="6"/>
      <c r="B340" s="26"/>
      <c r="C340" s="33"/>
      <c r="D340" s="7" t="str">
        <f t="shared" ref="D340:D403" si="32">IF(C340="","",C340*$B$1)</f>
        <v/>
      </c>
      <c r="E340" s="8" t="str">
        <f t="shared" ref="E340:E403" si="33">IF(C340="","",C340-D340)</f>
        <v/>
      </c>
      <c r="F340" s="18" t="str">
        <f t="shared" ref="F340:F403" si="34">IF(OR(B340="",C340=""),"",E340-B340)</f>
        <v/>
      </c>
      <c r="G340" s="21" t="str">
        <f t="shared" ref="G340:G403" si="35">IF(OR(B340="",B340=0),"",F340/B340)</f>
        <v/>
      </c>
      <c r="H340" s="9"/>
    </row>
    <row r="341" spans="1:8" ht="19.5" customHeight="1">
      <c r="A341" s="10"/>
      <c r="B341" s="27"/>
      <c r="C341" s="34"/>
      <c r="D341" s="11" t="str">
        <f t="shared" si="32"/>
        <v/>
      </c>
      <c r="E341" s="12" t="str">
        <f t="shared" si="33"/>
        <v/>
      </c>
      <c r="F341" s="19" t="str">
        <f t="shared" si="34"/>
        <v/>
      </c>
      <c r="G341" s="22" t="str">
        <f t="shared" si="35"/>
        <v/>
      </c>
      <c r="H341" s="13"/>
    </row>
    <row r="342" spans="1:8" ht="19.5" customHeight="1">
      <c r="A342" s="6"/>
      <c r="B342" s="26"/>
      <c r="C342" s="33"/>
      <c r="D342" s="7" t="str">
        <f t="shared" si="32"/>
        <v/>
      </c>
      <c r="E342" s="8" t="str">
        <f t="shared" si="33"/>
        <v/>
      </c>
      <c r="F342" s="18" t="str">
        <f t="shared" si="34"/>
        <v/>
      </c>
      <c r="G342" s="21" t="str">
        <f t="shared" si="35"/>
        <v/>
      </c>
      <c r="H342" s="9"/>
    </row>
    <row r="343" spans="1:8" ht="19.5" customHeight="1">
      <c r="A343" s="10"/>
      <c r="B343" s="27"/>
      <c r="C343" s="34"/>
      <c r="D343" s="11" t="str">
        <f t="shared" si="32"/>
        <v/>
      </c>
      <c r="E343" s="12" t="str">
        <f t="shared" si="33"/>
        <v/>
      </c>
      <c r="F343" s="19" t="str">
        <f t="shared" si="34"/>
        <v/>
      </c>
      <c r="G343" s="22" t="str">
        <f t="shared" si="35"/>
        <v/>
      </c>
      <c r="H343" s="13"/>
    </row>
    <row r="344" spans="1:8" ht="19.5" customHeight="1">
      <c r="A344" s="6"/>
      <c r="B344" s="26"/>
      <c r="C344" s="33"/>
      <c r="D344" s="7" t="str">
        <f t="shared" si="32"/>
        <v/>
      </c>
      <c r="E344" s="8" t="str">
        <f t="shared" si="33"/>
        <v/>
      </c>
      <c r="F344" s="18" t="str">
        <f t="shared" si="34"/>
        <v/>
      </c>
      <c r="G344" s="21" t="str">
        <f t="shared" si="35"/>
        <v/>
      </c>
      <c r="H344" s="9"/>
    </row>
    <row r="345" spans="1:8" ht="19.5" customHeight="1">
      <c r="A345" s="10"/>
      <c r="B345" s="27"/>
      <c r="C345" s="34"/>
      <c r="D345" s="11" t="str">
        <f t="shared" si="32"/>
        <v/>
      </c>
      <c r="E345" s="12" t="str">
        <f t="shared" si="33"/>
        <v/>
      </c>
      <c r="F345" s="19" t="str">
        <f t="shared" si="34"/>
        <v/>
      </c>
      <c r="G345" s="22" t="str">
        <f t="shared" si="35"/>
        <v/>
      </c>
      <c r="H345" s="13"/>
    </row>
    <row r="346" spans="1:8" ht="19.5" customHeight="1">
      <c r="A346" s="6"/>
      <c r="B346" s="26"/>
      <c r="C346" s="33"/>
      <c r="D346" s="7" t="str">
        <f t="shared" si="32"/>
        <v/>
      </c>
      <c r="E346" s="8" t="str">
        <f t="shared" si="33"/>
        <v/>
      </c>
      <c r="F346" s="18" t="str">
        <f t="shared" si="34"/>
        <v/>
      </c>
      <c r="G346" s="21" t="str">
        <f t="shared" si="35"/>
        <v/>
      </c>
      <c r="H346" s="9"/>
    </row>
    <row r="347" spans="1:8" ht="19.5" customHeight="1">
      <c r="A347" s="10"/>
      <c r="B347" s="27"/>
      <c r="C347" s="34"/>
      <c r="D347" s="11" t="str">
        <f t="shared" si="32"/>
        <v/>
      </c>
      <c r="E347" s="12" t="str">
        <f t="shared" si="33"/>
        <v/>
      </c>
      <c r="F347" s="19" t="str">
        <f t="shared" si="34"/>
        <v/>
      </c>
      <c r="G347" s="22" t="str">
        <f t="shared" si="35"/>
        <v/>
      </c>
      <c r="H347" s="13"/>
    </row>
    <row r="348" spans="1:8" ht="19.5" customHeight="1">
      <c r="A348" s="6"/>
      <c r="B348" s="26"/>
      <c r="C348" s="33"/>
      <c r="D348" s="7" t="str">
        <f t="shared" si="32"/>
        <v/>
      </c>
      <c r="E348" s="8" t="str">
        <f t="shared" si="33"/>
        <v/>
      </c>
      <c r="F348" s="18" t="str">
        <f t="shared" si="34"/>
        <v/>
      </c>
      <c r="G348" s="21" t="str">
        <f t="shared" si="35"/>
        <v/>
      </c>
      <c r="H348" s="9"/>
    </row>
    <row r="349" spans="1:8" ht="19.5" customHeight="1">
      <c r="A349" s="10"/>
      <c r="B349" s="27"/>
      <c r="C349" s="34"/>
      <c r="D349" s="11" t="str">
        <f t="shared" si="32"/>
        <v/>
      </c>
      <c r="E349" s="12" t="str">
        <f t="shared" si="33"/>
        <v/>
      </c>
      <c r="F349" s="19" t="str">
        <f t="shared" si="34"/>
        <v/>
      </c>
      <c r="G349" s="22" t="str">
        <f t="shared" si="35"/>
        <v/>
      </c>
      <c r="H349" s="13"/>
    </row>
    <row r="350" spans="1:8" ht="19.5" customHeight="1">
      <c r="A350" s="6"/>
      <c r="B350" s="26"/>
      <c r="C350" s="33"/>
      <c r="D350" s="7" t="str">
        <f t="shared" si="32"/>
        <v/>
      </c>
      <c r="E350" s="8" t="str">
        <f t="shared" si="33"/>
        <v/>
      </c>
      <c r="F350" s="18" t="str">
        <f t="shared" si="34"/>
        <v/>
      </c>
      <c r="G350" s="21" t="str">
        <f t="shared" si="35"/>
        <v/>
      </c>
      <c r="H350" s="9"/>
    </row>
    <row r="351" spans="1:8" ht="19.5" customHeight="1">
      <c r="A351" s="10"/>
      <c r="B351" s="27"/>
      <c r="C351" s="34"/>
      <c r="D351" s="11" t="str">
        <f t="shared" si="32"/>
        <v/>
      </c>
      <c r="E351" s="12" t="str">
        <f t="shared" si="33"/>
        <v/>
      </c>
      <c r="F351" s="19" t="str">
        <f t="shared" si="34"/>
        <v/>
      </c>
      <c r="G351" s="22" t="str">
        <f t="shared" si="35"/>
        <v/>
      </c>
      <c r="H351" s="13"/>
    </row>
    <row r="352" spans="1:8" ht="19.5" customHeight="1">
      <c r="A352" s="6"/>
      <c r="B352" s="26"/>
      <c r="C352" s="33"/>
      <c r="D352" s="7" t="str">
        <f t="shared" si="32"/>
        <v/>
      </c>
      <c r="E352" s="8" t="str">
        <f t="shared" si="33"/>
        <v/>
      </c>
      <c r="F352" s="18" t="str">
        <f t="shared" si="34"/>
        <v/>
      </c>
      <c r="G352" s="21" t="str">
        <f t="shared" si="35"/>
        <v/>
      </c>
      <c r="H352" s="9"/>
    </row>
    <row r="353" spans="1:8" ht="19.5" customHeight="1">
      <c r="A353" s="10"/>
      <c r="B353" s="27"/>
      <c r="C353" s="34"/>
      <c r="D353" s="11" t="str">
        <f t="shared" si="32"/>
        <v/>
      </c>
      <c r="E353" s="12" t="str">
        <f t="shared" si="33"/>
        <v/>
      </c>
      <c r="F353" s="19" t="str">
        <f t="shared" si="34"/>
        <v/>
      </c>
      <c r="G353" s="22" t="str">
        <f t="shared" si="35"/>
        <v/>
      </c>
      <c r="H353" s="13"/>
    </row>
    <row r="354" spans="1:8" ht="19.5" customHeight="1">
      <c r="A354" s="6"/>
      <c r="B354" s="26"/>
      <c r="C354" s="33"/>
      <c r="D354" s="7" t="str">
        <f t="shared" si="32"/>
        <v/>
      </c>
      <c r="E354" s="8" t="str">
        <f t="shared" si="33"/>
        <v/>
      </c>
      <c r="F354" s="18" t="str">
        <f t="shared" si="34"/>
        <v/>
      </c>
      <c r="G354" s="21" t="str">
        <f t="shared" si="35"/>
        <v/>
      </c>
      <c r="H354" s="9"/>
    </row>
    <row r="355" spans="1:8" ht="19.5" customHeight="1">
      <c r="A355" s="10"/>
      <c r="B355" s="27"/>
      <c r="C355" s="34"/>
      <c r="D355" s="11" t="str">
        <f t="shared" si="32"/>
        <v/>
      </c>
      <c r="E355" s="12" t="str">
        <f t="shared" si="33"/>
        <v/>
      </c>
      <c r="F355" s="19" t="str">
        <f t="shared" si="34"/>
        <v/>
      </c>
      <c r="G355" s="22" t="str">
        <f t="shared" si="35"/>
        <v/>
      </c>
      <c r="H355" s="13"/>
    </row>
    <row r="356" spans="1:8" ht="19.5" customHeight="1">
      <c r="A356" s="6"/>
      <c r="B356" s="26"/>
      <c r="C356" s="33"/>
      <c r="D356" s="7" t="str">
        <f t="shared" si="32"/>
        <v/>
      </c>
      <c r="E356" s="8" t="str">
        <f t="shared" si="33"/>
        <v/>
      </c>
      <c r="F356" s="18" t="str">
        <f t="shared" si="34"/>
        <v/>
      </c>
      <c r="G356" s="21" t="str">
        <f t="shared" si="35"/>
        <v/>
      </c>
      <c r="H356" s="9"/>
    </row>
    <row r="357" spans="1:8" ht="19.5" customHeight="1">
      <c r="A357" s="10"/>
      <c r="B357" s="27"/>
      <c r="C357" s="34"/>
      <c r="D357" s="11" t="str">
        <f t="shared" si="32"/>
        <v/>
      </c>
      <c r="E357" s="12" t="str">
        <f t="shared" si="33"/>
        <v/>
      </c>
      <c r="F357" s="19" t="str">
        <f t="shared" si="34"/>
        <v/>
      </c>
      <c r="G357" s="22" t="str">
        <f t="shared" si="35"/>
        <v/>
      </c>
      <c r="H357" s="13"/>
    </row>
    <row r="358" spans="1:8" ht="19.5" customHeight="1">
      <c r="A358" s="6"/>
      <c r="B358" s="26"/>
      <c r="C358" s="33"/>
      <c r="D358" s="7" t="str">
        <f t="shared" si="32"/>
        <v/>
      </c>
      <c r="E358" s="8" t="str">
        <f t="shared" si="33"/>
        <v/>
      </c>
      <c r="F358" s="18" t="str">
        <f t="shared" si="34"/>
        <v/>
      </c>
      <c r="G358" s="21" t="str">
        <f t="shared" si="35"/>
        <v/>
      </c>
      <c r="H358" s="9"/>
    </row>
    <row r="359" spans="1:8" ht="19.5" customHeight="1">
      <c r="A359" s="10"/>
      <c r="B359" s="27"/>
      <c r="C359" s="34"/>
      <c r="D359" s="11" t="str">
        <f t="shared" si="32"/>
        <v/>
      </c>
      <c r="E359" s="12" t="str">
        <f t="shared" si="33"/>
        <v/>
      </c>
      <c r="F359" s="19" t="str">
        <f t="shared" si="34"/>
        <v/>
      </c>
      <c r="G359" s="22" t="str">
        <f t="shared" si="35"/>
        <v/>
      </c>
      <c r="H359" s="13"/>
    </row>
    <row r="360" spans="1:8" ht="19.5" customHeight="1">
      <c r="A360" s="6"/>
      <c r="B360" s="26"/>
      <c r="C360" s="33"/>
      <c r="D360" s="7" t="str">
        <f t="shared" si="32"/>
        <v/>
      </c>
      <c r="E360" s="8" t="str">
        <f t="shared" si="33"/>
        <v/>
      </c>
      <c r="F360" s="18" t="str">
        <f t="shared" si="34"/>
        <v/>
      </c>
      <c r="G360" s="21" t="str">
        <f t="shared" si="35"/>
        <v/>
      </c>
      <c r="H360" s="9"/>
    </row>
    <row r="361" spans="1:8" ht="19.5" customHeight="1">
      <c r="A361" s="10"/>
      <c r="B361" s="27"/>
      <c r="C361" s="34"/>
      <c r="D361" s="11" t="str">
        <f t="shared" si="32"/>
        <v/>
      </c>
      <c r="E361" s="12" t="str">
        <f t="shared" si="33"/>
        <v/>
      </c>
      <c r="F361" s="19" t="str">
        <f t="shared" si="34"/>
        <v/>
      </c>
      <c r="G361" s="22" t="str">
        <f t="shared" si="35"/>
        <v/>
      </c>
      <c r="H361" s="13"/>
    </row>
    <row r="362" spans="1:8" ht="19.5" customHeight="1">
      <c r="A362" s="6"/>
      <c r="B362" s="26"/>
      <c r="C362" s="33"/>
      <c r="D362" s="7" t="str">
        <f t="shared" si="32"/>
        <v/>
      </c>
      <c r="E362" s="8" t="str">
        <f t="shared" si="33"/>
        <v/>
      </c>
      <c r="F362" s="18" t="str">
        <f t="shared" si="34"/>
        <v/>
      </c>
      <c r="G362" s="21" t="str">
        <f t="shared" si="35"/>
        <v/>
      </c>
      <c r="H362" s="9"/>
    </row>
    <row r="363" spans="1:8" ht="19.5" customHeight="1">
      <c r="A363" s="10"/>
      <c r="B363" s="27"/>
      <c r="C363" s="34"/>
      <c r="D363" s="11" t="str">
        <f t="shared" si="32"/>
        <v/>
      </c>
      <c r="E363" s="12" t="str">
        <f t="shared" si="33"/>
        <v/>
      </c>
      <c r="F363" s="19" t="str">
        <f t="shared" si="34"/>
        <v/>
      </c>
      <c r="G363" s="22" t="str">
        <f t="shared" si="35"/>
        <v/>
      </c>
      <c r="H363" s="13"/>
    </row>
    <row r="364" spans="1:8" ht="19.5" customHeight="1">
      <c r="A364" s="6"/>
      <c r="B364" s="26"/>
      <c r="C364" s="33"/>
      <c r="D364" s="7" t="str">
        <f t="shared" si="32"/>
        <v/>
      </c>
      <c r="E364" s="8" t="str">
        <f t="shared" si="33"/>
        <v/>
      </c>
      <c r="F364" s="18" t="str">
        <f t="shared" si="34"/>
        <v/>
      </c>
      <c r="G364" s="21" t="str">
        <f t="shared" si="35"/>
        <v/>
      </c>
      <c r="H364" s="9"/>
    </row>
    <row r="365" spans="1:8" ht="19.5" customHeight="1">
      <c r="A365" s="10"/>
      <c r="B365" s="27"/>
      <c r="C365" s="34"/>
      <c r="D365" s="11" t="str">
        <f t="shared" si="32"/>
        <v/>
      </c>
      <c r="E365" s="12" t="str">
        <f t="shared" si="33"/>
        <v/>
      </c>
      <c r="F365" s="19" t="str">
        <f t="shared" si="34"/>
        <v/>
      </c>
      <c r="G365" s="22" t="str">
        <f t="shared" si="35"/>
        <v/>
      </c>
      <c r="H365" s="13"/>
    </row>
    <row r="366" spans="1:8" ht="19.5" customHeight="1">
      <c r="A366" s="6"/>
      <c r="B366" s="26"/>
      <c r="C366" s="33"/>
      <c r="D366" s="7" t="str">
        <f t="shared" si="32"/>
        <v/>
      </c>
      <c r="E366" s="8" t="str">
        <f t="shared" si="33"/>
        <v/>
      </c>
      <c r="F366" s="18" t="str">
        <f t="shared" si="34"/>
        <v/>
      </c>
      <c r="G366" s="21" t="str">
        <f t="shared" si="35"/>
        <v/>
      </c>
      <c r="H366" s="9"/>
    </row>
    <row r="367" spans="1:8" ht="19.5" customHeight="1">
      <c r="A367" s="10"/>
      <c r="B367" s="27"/>
      <c r="C367" s="34"/>
      <c r="D367" s="11" t="str">
        <f t="shared" si="32"/>
        <v/>
      </c>
      <c r="E367" s="12" t="str">
        <f t="shared" si="33"/>
        <v/>
      </c>
      <c r="F367" s="19" t="str">
        <f t="shared" si="34"/>
        <v/>
      </c>
      <c r="G367" s="22" t="str">
        <f t="shared" si="35"/>
        <v/>
      </c>
      <c r="H367" s="13"/>
    </row>
    <row r="368" spans="1:8" ht="19.5" customHeight="1">
      <c r="A368" s="6"/>
      <c r="B368" s="26"/>
      <c r="C368" s="33"/>
      <c r="D368" s="7" t="str">
        <f t="shared" si="32"/>
        <v/>
      </c>
      <c r="E368" s="8" t="str">
        <f t="shared" si="33"/>
        <v/>
      </c>
      <c r="F368" s="18" t="str">
        <f t="shared" si="34"/>
        <v/>
      </c>
      <c r="G368" s="21" t="str">
        <f t="shared" si="35"/>
        <v/>
      </c>
      <c r="H368" s="9"/>
    </row>
    <row r="369" spans="1:8" ht="19.5" customHeight="1">
      <c r="A369" s="10"/>
      <c r="B369" s="27"/>
      <c r="C369" s="34"/>
      <c r="D369" s="11" t="str">
        <f t="shared" si="32"/>
        <v/>
      </c>
      <c r="E369" s="12" t="str">
        <f t="shared" si="33"/>
        <v/>
      </c>
      <c r="F369" s="19" t="str">
        <f t="shared" si="34"/>
        <v/>
      </c>
      <c r="G369" s="22" t="str">
        <f t="shared" si="35"/>
        <v/>
      </c>
      <c r="H369" s="13"/>
    </row>
    <row r="370" spans="1:8" ht="19.5" customHeight="1">
      <c r="A370" s="6"/>
      <c r="B370" s="26"/>
      <c r="C370" s="33"/>
      <c r="D370" s="7" t="str">
        <f t="shared" si="32"/>
        <v/>
      </c>
      <c r="E370" s="8" t="str">
        <f t="shared" si="33"/>
        <v/>
      </c>
      <c r="F370" s="18" t="str">
        <f t="shared" si="34"/>
        <v/>
      </c>
      <c r="G370" s="21" t="str">
        <f t="shared" si="35"/>
        <v/>
      </c>
      <c r="H370" s="9"/>
    </row>
    <row r="371" spans="1:8" ht="19.5" customHeight="1">
      <c r="A371" s="10"/>
      <c r="B371" s="27"/>
      <c r="C371" s="34"/>
      <c r="D371" s="11" t="str">
        <f t="shared" si="32"/>
        <v/>
      </c>
      <c r="E371" s="12" t="str">
        <f t="shared" si="33"/>
        <v/>
      </c>
      <c r="F371" s="19" t="str">
        <f t="shared" si="34"/>
        <v/>
      </c>
      <c r="G371" s="22" t="str">
        <f t="shared" si="35"/>
        <v/>
      </c>
      <c r="H371" s="13"/>
    </row>
    <row r="372" spans="1:8" ht="19.5" customHeight="1">
      <c r="A372" s="6"/>
      <c r="B372" s="26"/>
      <c r="C372" s="33"/>
      <c r="D372" s="7" t="str">
        <f t="shared" si="32"/>
        <v/>
      </c>
      <c r="E372" s="8" t="str">
        <f t="shared" si="33"/>
        <v/>
      </c>
      <c r="F372" s="18" t="str">
        <f t="shared" si="34"/>
        <v/>
      </c>
      <c r="G372" s="21" t="str">
        <f t="shared" si="35"/>
        <v/>
      </c>
      <c r="H372" s="9"/>
    </row>
    <row r="373" spans="1:8" ht="19.5" customHeight="1">
      <c r="A373" s="10"/>
      <c r="B373" s="27"/>
      <c r="C373" s="34"/>
      <c r="D373" s="11" t="str">
        <f t="shared" si="32"/>
        <v/>
      </c>
      <c r="E373" s="12" t="str">
        <f t="shared" si="33"/>
        <v/>
      </c>
      <c r="F373" s="19" t="str">
        <f t="shared" si="34"/>
        <v/>
      </c>
      <c r="G373" s="22" t="str">
        <f t="shared" si="35"/>
        <v/>
      </c>
      <c r="H373" s="13"/>
    </row>
    <row r="374" spans="1:8" ht="19.5" customHeight="1">
      <c r="A374" s="6"/>
      <c r="B374" s="26"/>
      <c r="C374" s="33"/>
      <c r="D374" s="7" t="str">
        <f t="shared" si="32"/>
        <v/>
      </c>
      <c r="E374" s="8" t="str">
        <f t="shared" si="33"/>
        <v/>
      </c>
      <c r="F374" s="18" t="str">
        <f t="shared" si="34"/>
        <v/>
      </c>
      <c r="G374" s="21" t="str">
        <f t="shared" si="35"/>
        <v/>
      </c>
      <c r="H374" s="9"/>
    </row>
    <row r="375" spans="1:8" ht="19.5" customHeight="1">
      <c r="A375" s="10"/>
      <c r="B375" s="27"/>
      <c r="C375" s="34"/>
      <c r="D375" s="11" t="str">
        <f t="shared" si="32"/>
        <v/>
      </c>
      <c r="E375" s="12" t="str">
        <f t="shared" si="33"/>
        <v/>
      </c>
      <c r="F375" s="19" t="str">
        <f t="shared" si="34"/>
        <v/>
      </c>
      <c r="G375" s="22" t="str">
        <f t="shared" si="35"/>
        <v/>
      </c>
      <c r="H375" s="13"/>
    </row>
    <row r="376" spans="1:8" ht="19.5" customHeight="1">
      <c r="A376" s="6"/>
      <c r="B376" s="26"/>
      <c r="C376" s="33"/>
      <c r="D376" s="7" t="str">
        <f t="shared" si="32"/>
        <v/>
      </c>
      <c r="E376" s="8" t="str">
        <f t="shared" si="33"/>
        <v/>
      </c>
      <c r="F376" s="18" t="str">
        <f t="shared" si="34"/>
        <v/>
      </c>
      <c r="G376" s="21" t="str">
        <f t="shared" si="35"/>
        <v/>
      </c>
      <c r="H376" s="9"/>
    </row>
    <row r="377" spans="1:8" ht="19.5" customHeight="1">
      <c r="A377" s="10"/>
      <c r="B377" s="27"/>
      <c r="C377" s="34"/>
      <c r="D377" s="11" t="str">
        <f t="shared" si="32"/>
        <v/>
      </c>
      <c r="E377" s="12" t="str">
        <f t="shared" si="33"/>
        <v/>
      </c>
      <c r="F377" s="19" t="str">
        <f t="shared" si="34"/>
        <v/>
      </c>
      <c r="G377" s="22" t="str">
        <f t="shared" si="35"/>
        <v/>
      </c>
      <c r="H377" s="13"/>
    </row>
    <row r="378" spans="1:8" ht="19.5" customHeight="1">
      <c r="A378" s="6"/>
      <c r="B378" s="26"/>
      <c r="C378" s="33"/>
      <c r="D378" s="7" t="str">
        <f t="shared" si="32"/>
        <v/>
      </c>
      <c r="E378" s="8" t="str">
        <f t="shared" si="33"/>
        <v/>
      </c>
      <c r="F378" s="18" t="str">
        <f t="shared" si="34"/>
        <v/>
      </c>
      <c r="G378" s="21" t="str">
        <f t="shared" si="35"/>
        <v/>
      </c>
      <c r="H378" s="9"/>
    </row>
    <row r="379" spans="1:8" ht="19.5" customHeight="1">
      <c r="A379" s="10"/>
      <c r="B379" s="27"/>
      <c r="C379" s="34"/>
      <c r="D379" s="11" t="str">
        <f t="shared" si="32"/>
        <v/>
      </c>
      <c r="E379" s="12" t="str">
        <f t="shared" si="33"/>
        <v/>
      </c>
      <c r="F379" s="19" t="str">
        <f t="shared" si="34"/>
        <v/>
      </c>
      <c r="G379" s="22" t="str">
        <f t="shared" si="35"/>
        <v/>
      </c>
      <c r="H379" s="13"/>
    </row>
    <row r="380" spans="1:8" ht="19.5" customHeight="1">
      <c r="A380" s="6"/>
      <c r="B380" s="26"/>
      <c r="C380" s="33"/>
      <c r="D380" s="7" t="str">
        <f t="shared" si="32"/>
        <v/>
      </c>
      <c r="E380" s="8" t="str">
        <f t="shared" si="33"/>
        <v/>
      </c>
      <c r="F380" s="18" t="str">
        <f t="shared" si="34"/>
        <v/>
      </c>
      <c r="G380" s="21" t="str">
        <f t="shared" si="35"/>
        <v/>
      </c>
      <c r="H380" s="9"/>
    </row>
    <row r="381" spans="1:8" ht="19.5" customHeight="1">
      <c r="A381" s="10"/>
      <c r="B381" s="27"/>
      <c r="C381" s="34"/>
      <c r="D381" s="11" t="str">
        <f t="shared" si="32"/>
        <v/>
      </c>
      <c r="E381" s="12" t="str">
        <f t="shared" si="33"/>
        <v/>
      </c>
      <c r="F381" s="19" t="str">
        <f t="shared" si="34"/>
        <v/>
      </c>
      <c r="G381" s="22" t="str">
        <f t="shared" si="35"/>
        <v/>
      </c>
      <c r="H381" s="13"/>
    </row>
    <row r="382" spans="1:8" ht="19.5" customHeight="1">
      <c r="A382" s="6"/>
      <c r="B382" s="26"/>
      <c r="C382" s="33"/>
      <c r="D382" s="7" t="str">
        <f t="shared" si="32"/>
        <v/>
      </c>
      <c r="E382" s="8" t="str">
        <f t="shared" si="33"/>
        <v/>
      </c>
      <c r="F382" s="18" t="str">
        <f t="shared" si="34"/>
        <v/>
      </c>
      <c r="G382" s="21" t="str">
        <f t="shared" si="35"/>
        <v/>
      </c>
      <c r="H382" s="9"/>
    </row>
    <row r="383" spans="1:8" ht="19.5" customHeight="1">
      <c r="A383" s="10"/>
      <c r="B383" s="27"/>
      <c r="C383" s="34"/>
      <c r="D383" s="11" t="str">
        <f t="shared" si="32"/>
        <v/>
      </c>
      <c r="E383" s="12" t="str">
        <f t="shared" si="33"/>
        <v/>
      </c>
      <c r="F383" s="19" t="str">
        <f t="shared" si="34"/>
        <v/>
      </c>
      <c r="G383" s="22" t="str">
        <f t="shared" si="35"/>
        <v/>
      </c>
      <c r="H383" s="13"/>
    </row>
    <row r="384" spans="1:8" ht="19.5" customHeight="1">
      <c r="A384" s="6"/>
      <c r="B384" s="26"/>
      <c r="C384" s="33"/>
      <c r="D384" s="7" t="str">
        <f t="shared" si="32"/>
        <v/>
      </c>
      <c r="E384" s="8" t="str">
        <f t="shared" si="33"/>
        <v/>
      </c>
      <c r="F384" s="18" t="str">
        <f t="shared" si="34"/>
        <v/>
      </c>
      <c r="G384" s="21" t="str">
        <f t="shared" si="35"/>
        <v/>
      </c>
      <c r="H384" s="9"/>
    </row>
    <row r="385" spans="1:8" ht="19.5" customHeight="1">
      <c r="A385" s="10"/>
      <c r="B385" s="27"/>
      <c r="C385" s="34"/>
      <c r="D385" s="11" t="str">
        <f t="shared" si="32"/>
        <v/>
      </c>
      <c r="E385" s="12" t="str">
        <f t="shared" si="33"/>
        <v/>
      </c>
      <c r="F385" s="19" t="str">
        <f t="shared" si="34"/>
        <v/>
      </c>
      <c r="G385" s="22" t="str">
        <f t="shared" si="35"/>
        <v/>
      </c>
      <c r="H385" s="13"/>
    </row>
    <row r="386" spans="1:8" ht="19.5" customHeight="1">
      <c r="A386" s="6"/>
      <c r="B386" s="26"/>
      <c r="C386" s="33"/>
      <c r="D386" s="7" t="str">
        <f t="shared" si="32"/>
        <v/>
      </c>
      <c r="E386" s="8" t="str">
        <f t="shared" si="33"/>
        <v/>
      </c>
      <c r="F386" s="18" t="str">
        <f t="shared" si="34"/>
        <v/>
      </c>
      <c r="G386" s="21" t="str">
        <f t="shared" si="35"/>
        <v/>
      </c>
      <c r="H386" s="9"/>
    </row>
    <row r="387" spans="1:8" ht="19.5" customHeight="1">
      <c r="A387" s="10"/>
      <c r="B387" s="27"/>
      <c r="C387" s="34"/>
      <c r="D387" s="11" t="str">
        <f t="shared" si="32"/>
        <v/>
      </c>
      <c r="E387" s="12" t="str">
        <f t="shared" si="33"/>
        <v/>
      </c>
      <c r="F387" s="19" t="str">
        <f t="shared" si="34"/>
        <v/>
      </c>
      <c r="G387" s="22" t="str">
        <f t="shared" si="35"/>
        <v/>
      </c>
      <c r="H387" s="13"/>
    </row>
    <row r="388" spans="1:8" ht="19.5" customHeight="1">
      <c r="A388" s="6"/>
      <c r="B388" s="26"/>
      <c r="C388" s="33"/>
      <c r="D388" s="7" t="str">
        <f t="shared" si="32"/>
        <v/>
      </c>
      <c r="E388" s="8" t="str">
        <f t="shared" si="33"/>
        <v/>
      </c>
      <c r="F388" s="18" t="str">
        <f t="shared" si="34"/>
        <v/>
      </c>
      <c r="G388" s="21" t="str">
        <f t="shared" si="35"/>
        <v/>
      </c>
      <c r="H388" s="9"/>
    </row>
    <row r="389" spans="1:8" ht="19.5" customHeight="1">
      <c r="A389" s="10"/>
      <c r="B389" s="27"/>
      <c r="C389" s="34"/>
      <c r="D389" s="11" t="str">
        <f t="shared" si="32"/>
        <v/>
      </c>
      <c r="E389" s="12" t="str">
        <f t="shared" si="33"/>
        <v/>
      </c>
      <c r="F389" s="19" t="str">
        <f t="shared" si="34"/>
        <v/>
      </c>
      <c r="G389" s="22" t="str">
        <f t="shared" si="35"/>
        <v/>
      </c>
      <c r="H389" s="13"/>
    </row>
    <row r="390" spans="1:8" ht="19.5" customHeight="1">
      <c r="A390" s="6"/>
      <c r="B390" s="26"/>
      <c r="C390" s="33"/>
      <c r="D390" s="7" t="str">
        <f t="shared" si="32"/>
        <v/>
      </c>
      <c r="E390" s="8" t="str">
        <f t="shared" si="33"/>
        <v/>
      </c>
      <c r="F390" s="18" t="str">
        <f t="shared" si="34"/>
        <v/>
      </c>
      <c r="G390" s="21" t="str">
        <f t="shared" si="35"/>
        <v/>
      </c>
      <c r="H390" s="9"/>
    </row>
    <row r="391" spans="1:8" ht="19.5" customHeight="1">
      <c r="A391" s="10"/>
      <c r="B391" s="27"/>
      <c r="C391" s="34"/>
      <c r="D391" s="11" t="str">
        <f t="shared" si="32"/>
        <v/>
      </c>
      <c r="E391" s="12" t="str">
        <f t="shared" si="33"/>
        <v/>
      </c>
      <c r="F391" s="19" t="str">
        <f t="shared" si="34"/>
        <v/>
      </c>
      <c r="G391" s="22" t="str">
        <f t="shared" si="35"/>
        <v/>
      </c>
      <c r="H391" s="13"/>
    </row>
    <row r="392" spans="1:8" ht="19.5" customHeight="1">
      <c r="A392" s="6"/>
      <c r="B392" s="26"/>
      <c r="C392" s="33"/>
      <c r="D392" s="7" t="str">
        <f t="shared" si="32"/>
        <v/>
      </c>
      <c r="E392" s="8" t="str">
        <f t="shared" si="33"/>
        <v/>
      </c>
      <c r="F392" s="18" t="str">
        <f t="shared" si="34"/>
        <v/>
      </c>
      <c r="G392" s="21" t="str">
        <f t="shared" si="35"/>
        <v/>
      </c>
      <c r="H392" s="9"/>
    </row>
    <row r="393" spans="1:8" ht="19.5" customHeight="1">
      <c r="A393" s="10"/>
      <c r="B393" s="27"/>
      <c r="C393" s="34"/>
      <c r="D393" s="11" t="str">
        <f t="shared" si="32"/>
        <v/>
      </c>
      <c r="E393" s="12" t="str">
        <f t="shared" si="33"/>
        <v/>
      </c>
      <c r="F393" s="19" t="str">
        <f t="shared" si="34"/>
        <v/>
      </c>
      <c r="G393" s="22" t="str">
        <f t="shared" si="35"/>
        <v/>
      </c>
      <c r="H393" s="13"/>
    </row>
    <row r="394" spans="1:8" ht="19.5" customHeight="1">
      <c r="A394" s="6"/>
      <c r="B394" s="26"/>
      <c r="C394" s="33"/>
      <c r="D394" s="7" t="str">
        <f t="shared" si="32"/>
        <v/>
      </c>
      <c r="E394" s="8" t="str">
        <f t="shared" si="33"/>
        <v/>
      </c>
      <c r="F394" s="18" t="str">
        <f t="shared" si="34"/>
        <v/>
      </c>
      <c r="G394" s="21" t="str">
        <f t="shared" si="35"/>
        <v/>
      </c>
      <c r="H394" s="9"/>
    </row>
    <row r="395" spans="1:8" ht="19.5" customHeight="1">
      <c r="A395" s="10"/>
      <c r="B395" s="27"/>
      <c r="C395" s="34"/>
      <c r="D395" s="11" t="str">
        <f t="shared" si="32"/>
        <v/>
      </c>
      <c r="E395" s="12" t="str">
        <f t="shared" si="33"/>
        <v/>
      </c>
      <c r="F395" s="19" t="str">
        <f t="shared" si="34"/>
        <v/>
      </c>
      <c r="G395" s="22" t="str">
        <f t="shared" si="35"/>
        <v/>
      </c>
      <c r="H395" s="13"/>
    </row>
    <row r="396" spans="1:8" ht="19.5" customHeight="1">
      <c r="A396" s="6"/>
      <c r="B396" s="26"/>
      <c r="C396" s="33"/>
      <c r="D396" s="7" t="str">
        <f t="shared" si="32"/>
        <v/>
      </c>
      <c r="E396" s="8" t="str">
        <f t="shared" si="33"/>
        <v/>
      </c>
      <c r="F396" s="18" t="str">
        <f t="shared" si="34"/>
        <v/>
      </c>
      <c r="G396" s="21" t="str">
        <f t="shared" si="35"/>
        <v/>
      </c>
      <c r="H396" s="9"/>
    </row>
    <row r="397" spans="1:8" ht="19.5" customHeight="1">
      <c r="A397" s="10"/>
      <c r="B397" s="27"/>
      <c r="C397" s="34"/>
      <c r="D397" s="11" t="str">
        <f t="shared" si="32"/>
        <v/>
      </c>
      <c r="E397" s="12" t="str">
        <f t="shared" si="33"/>
        <v/>
      </c>
      <c r="F397" s="19" t="str">
        <f t="shared" si="34"/>
        <v/>
      </c>
      <c r="G397" s="22" t="str">
        <f t="shared" si="35"/>
        <v/>
      </c>
      <c r="H397" s="13"/>
    </row>
    <row r="398" spans="1:8" ht="19.5" customHeight="1">
      <c r="A398" s="6"/>
      <c r="B398" s="26"/>
      <c r="C398" s="33"/>
      <c r="D398" s="7" t="str">
        <f t="shared" si="32"/>
        <v/>
      </c>
      <c r="E398" s="8" t="str">
        <f t="shared" si="33"/>
        <v/>
      </c>
      <c r="F398" s="18" t="str">
        <f t="shared" si="34"/>
        <v/>
      </c>
      <c r="G398" s="21" t="str">
        <f t="shared" si="35"/>
        <v/>
      </c>
      <c r="H398" s="9"/>
    </row>
    <row r="399" spans="1:8" ht="19.5" customHeight="1">
      <c r="A399" s="10"/>
      <c r="B399" s="27"/>
      <c r="C399" s="34"/>
      <c r="D399" s="11" t="str">
        <f t="shared" si="32"/>
        <v/>
      </c>
      <c r="E399" s="12" t="str">
        <f t="shared" si="33"/>
        <v/>
      </c>
      <c r="F399" s="19" t="str">
        <f t="shared" si="34"/>
        <v/>
      </c>
      <c r="G399" s="22" t="str">
        <f t="shared" si="35"/>
        <v/>
      </c>
      <c r="H399" s="13"/>
    </row>
    <row r="400" spans="1:8" ht="19.5" customHeight="1">
      <c r="A400" s="6"/>
      <c r="B400" s="26"/>
      <c r="C400" s="33"/>
      <c r="D400" s="7" t="str">
        <f t="shared" si="32"/>
        <v/>
      </c>
      <c r="E400" s="8" t="str">
        <f t="shared" si="33"/>
        <v/>
      </c>
      <c r="F400" s="18" t="str">
        <f t="shared" si="34"/>
        <v/>
      </c>
      <c r="G400" s="21" t="str">
        <f t="shared" si="35"/>
        <v/>
      </c>
      <c r="H400" s="9"/>
    </row>
    <row r="401" spans="1:8" ht="19.5" customHeight="1">
      <c r="A401" s="10"/>
      <c r="B401" s="27"/>
      <c r="C401" s="34"/>
      <c r="D401" s="11" t="str">
        <f t="shared" si="32"/>
        <v/>
      </c>
      <c r="E401" s="12" t="str">
        <f t="shared" si="33"/>
        <v/>
      </c>
      <c r="F401" s="19" t="str">
        <f t="shared" si="34"/>
        <v/>
      </c>
      <c r="G401" s="22" t="str">
        <f t="shared" si="35"/>
        <v/>
      </c>
      <c r="H401" s="13"/>
    </row>
    <row r="402" spans="1:8" ht="19.5" customHeight="1">
      <c r="A402" s="6"/>
      <c r="B402" s="26"/>
      <c r="C402" s="33"/>
      <c r="D402" s="7" t="str">
        <f t="shared" si="32"/>
        <v/>
      </c>
      <c r="E402" s="8" t="str">
        <f t="shared" si="33"/>
        <v/>
      </c>
      <c r="F402" s="18" t="str">
        <f t="shared" si="34"/>
        <v/>
      </c>
      <c r="G402" s="21" t="str">
        <f t="shared" si="35"/>
        <v/>
      </c>
      <c r="H402" s="9"/>
    </row>
    <row r="403" spans="1:8" ht="19.5" customHeight="1">
      <c r="A403" s="10"/>
      <c r="B403" s="27"/>
      <c r="C403" s="34"/>
      <c r="D403" s="11" t="str">
        <f t="shared" si="32"/>
        <v/>
      </c>
      <c r="E403" s="12" t="str">
        <f t="shared" si="33"/>
        <v/>
      </c>
      <c r="F403" s="19" t="str">
        <f t="shared" si="34"/>
        <v/>
      </c>
      <c r="G403" s="22" t="str">
        <f t="shared" si="35"/>
        <v/>
      </c>
      <c r="H403" s="13"/>
    </row>
    <row r="404" spans="1:8" ht="19.5" customHeight="1">
      <c r="A404" s="6"/>
      <c r="B404" s="26"/>
      <c r="C404" s="33"/>
      <c r="D404" s="7" t="str">
        <f t="shared" ref="D404:D467" si="36">IF(C404="","",C404*$B$1)</f>
        <v/>
      </c>
      <c r="E404" s="8" t="str">
        <f t="shared" ref="E404:E467" si="37">IF(C404="","",C404-D404)</f>
        <v/>
      </c>
      <c r="F404" s="18" t="str">
        <f t="shared" ref="F404:F467" si="38">IF(OR(B404="",C404=""),"",E404-B404)</f>
        <v/>
      </c>
      <c r="G404" s="21" t="str">
        <f t="shared" ref="G404:G467" si="39">IF(OR(B404="",B404=0),"",F404/B404)</f>
        <v/>
      </c>
      <c r="H404" s="9"/>
    </row>
    <row r="405" spans="1:8" ht="19.5" customHeight="1">
      <c r="A405" s="10"/>
      <c r="B405" s="27"/>
      <c r="C405" s="34"/>
      <c r="D405" s="11" t="str">
        <f t="shared" si="36"/>
        <v/>
      </c>
      <c r="E405" s="12" t="str">
        <f t="shared" si="37"/>
        <v/>
      </c>
      <c r="F405" s="19" t="str">
        <f t="shared" si="38"/>
        <v/>
      </c>
      <c r="G405" s="22" t="str">
        <f t="shared" si="39"/>
        <v/>
      </c>
      <c r="H405" s="13"/>
    </row>
    <row r="406" spans="1:8" ht="19.5" customHeight="1">
      <c r="A406" s="6"/>
      <c r="B406" s="26"/>
      <c r="C406" s="33"/>
      <c r="D406" s="7" t="str">
        <f t="shared" si="36"/>
        <v/>
      </c>
      <c r="E406" s="8" t="str">
        <f t="shared" si="37"/>
        <v/>
      </c>
      <c r="F406" s="18" t="str">
        <f t="shared" si="38"/>
        <v/>
      </c>
      <c r="G406" s="21" t="str">
        <f t="shared" si="39"/>
        <v/>
      </c>
      <c r="H406" s="9"/>
    </row>
    <row r="407" spans="1:8" ht="19.5" customHeight="1">
      <c r="A407" s="10"/>
      <c r="B407" s="27"/>
      <c r="C407" s="34"/>
      <c r="D407" s="11" t="str">
        <f t="shared" si="36"/>
        <v/>
      </c>
      <c r="E407" s="12" t="str">
        <f t="shared" si="37"/>
        <v/>
      </c>
      <c r="F407" s="19" t="str">
        <f t="shared" si="38"/>
        <v/>
      </c>
      <c r="G407" s="22" t="str">
        <f t="shared" si="39"/>
        <v/>
      </c>
      <c r="H407" s="13"/>
    </row>
    <row r="408" spans="1:8" ht="19.5" customHeight="1">
      <c r="A408" s="6"/>
      <c r="B408" s="26"/>
      <c r="C408" s="33"/>
      <c r="D408" s="7" t="str">
        <f t="shared" si="36"/>
        <v/>
      </c>
      <c r="E408" s="8" t="str">
        <f t="shared" si="37"/>
        <v/>
      </c>
      <c r="F408" s="18" t="str">
        <f t="shared" si="38"/>
        <v/>
      </c>
      <c r="G408" s="21" t="str">
        <f t="shared" si="39"/>
        <v/>
      </c>
      <c r="H408" s="9"/>
    </row>
    <row r="409" spans="1:8" ht="19.5" customHeight="1">
      <c r="A409" s="10"/>
      <c r="B409" s="27"/>
      <c r="C409" s="34"/>
      <c r="D409" s="11" t="str">
        <f t="shared" si="36"/>
        <v/>
      </c>
      <c r="E409" s="12" t="str">
        <f t="shared" si="37"/>
        <v/>
      </c>
      <c r="F409" s="19" t="str">
        <f t="shared" si="38"/>
        <v/>
      </c>
      <c r="G409" s="22" t="str">
        <f t="shared" si="39"/>
        <v/>
      </c>
      <c r="H409" s="13"/>
    </row>
    <row r="410" spans="1:8" ht="19.5" customHeight="1">
      <c r="A410" s="6"/>
      <c r="B410" s="26"/>
      <c r="C410" s="33"/>
      <c r="D410" s="7" t="str">
        <f t="shared" si="36"/>
        <v/>
      </c>
      <c r="E410" s="8" t="str">
        <f t="shared" si="37"/>
        <v/>
      </c>
      <c r="F410" s="18" t="str">
        <f t="shared" si="38"/>
        <v/>
      </c>
      <c r="G410" s="21" t="str">
        <f t="shared" si="39"/>
        <v/>
      </c>
      <c r="H410" s="9"/>
    </row>
    <row r="411" spans="1:8" ht="19.5" customHeight="1">
      <c r="A411" s="10"/>
      <c r="B411" s="27"/>
      <c r="C411" s="34"/>
      <c r="D411" s="11" t="str">
        <f t="shared" si="36"/>
        <v/>
      </c>
      <c r="E411" s="12" t="str">
        <f t="shared" si="37"/>
        <v/>
      </c>
      <c r="F411" s="19" t="str">
        <f t="shared" si="38"/>
        <v/>
      </c>
      <c r="G411" s="22" t="str">
        <f t="shared" si="39"/>
        <v/>
      </c>
      <c r="H411" s="13"/>
    </row>
    <row r="412" spans="1:8" ht="19.5" customHeight="1">
      <c r="A412" s="6"/>
      <c r="B412" s="26"/>
      <c r="C412" s="33"/>
      <c r="D412" s="7" t="str">
        <f t="shared" si="36"/>
        <v/>
      </c>
      <c r="E412" s="8" t="str">
        <f t="shared" si="37"/>
        <v/>
      </c>
      <c r="F412" s="18" t="str">
        <f t="shared" si="38"/>
        <v/>
      </c>
      <c r="G412" s="21" t="str">
        <f t="shared" si="39"/>
        <v/>
      </c>
      <c r="H412" s="9"/>
    </row>
    <row r="413" spans="1:8" ht="19.5" customHeight="1">
      <c r="A413" s="10"/>
      <c r="B413" s="27"/>
      <c r="C413" s="34"/>
      <c r="D413" s="11" t="str">
        <f t="shared" si="36"/>
        <v/>
      </c>
      <c r="E413" s="12" t="str">
        <f t="shared" si="37"/>
        <v/>
      </c>
      <c r="F413" s="19" t="str">
        <f t="shared" si="38"/>
        <v/>
      </c>
      <c r="G413" s="22" t="str">
        <f t="shared" si="39"/>
        <v/>
      </c>
      <c r="H413" s="13"/>
    </row>
    <row r="414" spans="1:8" ht="19.5" customHeight="1">
      <c r="A414" s="6"/>
      <c r="B414" s="26"/>
      <c r="C414" s="33"/>
      <c r="D414" s="7" t="str">
        <f t="shared" si="36"/>
        <v/>
      </c>
      <c r="E414" s="8" t="str">
        <f t="shared" si="37"/>
        <v/>
      </c>
      <c r="F414" s="18" t="str">
        <f t="shared" si="38"/>
        <v/>
      </c>
      <c r="G414" s="21" t="str">
        <f t="shared" si="39"/>
        <v/>
      </c>
      <c r="H414" s="9"/>
    </row>
    <row r="415" spans="1:8" ht="19.5" customHeight="1">
      <c r="A415" s="10"/>
      <c r="B415" s="27"/>
      <c r="C415" s="34"/>
      <c r="D415" s="11" t="str">
        <f t="shared" si="36"/>
        <v/>
      </c>
      <c r="E415" s="12" t="str">
        <f t="shared" si="37"/>
        <v/>
      </c>
      <c r="F415" s="19" t="str">
        <f t="shared" si="38"/>
        <v/>
      </c>
      <c r="G415" s="22" t="str">
        <f t="shared" si="39"/>
        <v/>
      </c>
      <c r="H415" s="13"/>
    </row>
    <row r="416" spans="1:8" ht="19.5" customHeight="1">
      <c r="A416" s="6"/>
      <c r="B416" s="26"/>
      <c r="C416" s="33"/>
      <c r="D416" s="7" t="str">
        <f t="shared" si="36"/>
        <v/>
      </c>
      <c r="E416" s="8" t="str">
        <f t="shared" si="37"/>
        <v/>
      </c>
      <c r="F416" s="18" t="str">
        <f t="shared" si="38"/>
        <v/>
      </c>
      <c r="G416" s="21" t="str">
        <f t="shared" si="39"/>
        <v/>
      </c>
      <c r="H416" s="9"/>
    </row>
    <row r="417" spans="1:8" ht="19.5" customHeight="1">
      <c r="A417" s="10"/>
      <c r="B417" s="27"/>
      <c r="C417" s="34"/>
      <c r="D417" s="11" t="str">
        <f t="shared" si="36"/>
        <v/>
      </c>
      <c r="E417" s="12" t="str">
        <f t="shared" si="37"/>
        <v/>
      </c>
      <c r="F417" s="19" t="str">
        <f t="shared" si="38"/>
        <v/>
      </c>
      <c r="G417" s="22" t="str">
        <f t="shared" si="39"/>
        <v/>
      </c>
      <c r="H417" s="13"/>
    </row>
    <row r="418" spans="1:8" ht="19.5" customHeight="1">
      <c r="A418" s="6"/>
      <c r="B418" s="26"/>
      <c r="C418" s="33"/>
      <c r="D418" s="7" t="str">
        <f t="shared" si="36"/>
        <v/>
      </c>
      <c r="E418" s="8" t="str">
        <f t="shared" si="37"/>
        <v/>
      </c>
      <c r="F418" s="18" t="str">
        <f t="shared" si="38"/>
        <v/>
      </c>
      <c r="G418" s="21" t="str">
        <f t="shared" si="39"/>
        <v/>
      </c>
      <c r="H418" s="9"/>
    </row>
    <row r="419" spans="1:8" ht="19.5" customHeight="1">
      <c r="A419" s="10"/>
      <c r="B419" s="27"/>
      <c r="C419" s="34"/>
      <c r="D419" s="11" t="str">
        <f t="shared" si="36"/>
        <v/>
      </c>
      <c r="E419" s="12" t="str">
        <f t="shared" si="37"/>
        <v/>
      </c>
      <c r="F419" s="19" t="str">
        <f t="shared" si="38"/>
        <v/>
      </c>
      <c r="G419" s="22" t="str">
        <f t="shared" si="39"/>
        <v/>
      </c>
      <c r="H419" s="13"/>
    </row>
    <row r="420" spans="1:8" ht="19.5" customHeight="1">
      <c r="A420" s="6"/>
      <c r="B420" s="26"/>
      <c r="C420" s="33"/>
      <c r="D420" s="7" t="str">
        <f t="shared" si="36"/>
        <v/>
      </c>
      <c r="E420" s="8" t="str">
        <f t="shared" si="37"/>
        <v/>
      </c>
      <c r="F420" s="18" t="str">
        <f t="shared" si="38"/>
        <v/>
      </c>
      <c r="G420" s="21" t="str">
        <f t="shared" si="39"/>
        <v/>
      </c>
      <c r="H420" s="9"/>
    </row>
    <row r="421" spans="1:8" ht="19.5" customHeight="1">
      <c r="A421" s="10"/>
      <c r="B421" s="27"/>
      <c r="C421" s="34"/>
      <c r="D421" s="11" t="str">
        <f t="shared" si="36"/>
        <v/>
      </c>
      <c r="E421" s="12" t="str">
        <f t="shared" si="37"/>
        <v/>
      </c>
      <c r="F421" s="19" t="str">
        <f t="shared" si="38"/>
        <v/>
      </c>
      <c r="G421" s="22" t="str">
        <f t="shared" si="39"/>
        <v/>
      </c>
      <c r="H421" s="13"/>
    </row>
    <row r="422" spans="1:8" ht="19.5" customHeight="1">
      <c r="A422" s="6"/>
      <c r="B422" s="26"/>
      <c r="C422" s="33"/>
      <c r="D422" s="7" t="str">
        <f t="shared" si="36"/>
        <v/>
      </c>
      <c r="E422" s="8" t="str">
        <f t="shared" si="37"/>
        <v/>
      </c>
      <c r="F422" s="18" t="str">
        <f t="shared" si="38"/>
        <v/>
      </c>
      <c r="G422" s="21" t="str">
        <f t="shared" si="39"/>
        <v/>
      </c>
      <c r="H422" s="9"/>
    </row>
    <row r="423" spans="1:8" ht="19.5" customHeight="1">
      <c r="A423" s="10"/>
      <c r="B423" s="27"/>
      <c r="C423" s="34"/>
      <c r="D423" s="11" t="str">
        <f t="shared" si="36"/>
        <v/>
      </c>
      <c r="E423" s="12" t="str">
        <f t="shared" si="37"/>
        <v/>
      </c>
      <c r="F423" s="19" t="str">
        <f t="shared" si="38"/>
        <v/>
      </c>
      <c r="G423" s="22" t="str">
        <f t="shared" si="39"/>
        <v/>
      </c>
      <c r="H423" s="13"/>
    </row>
    <row r="424" spans="1:8" ht="19.5" customHeight="1">
      <c r="A424" s="6"/>
      <c r="B424" s="26"/>
      <c r="C424" s="33"/>
      <c r="D424" s="7" t="str">
        <f t="shared" si="36"/>
        <v/>
      </c>
      <c r="E424" s="8" t="str">
        <f t="shared" si="37"/>
        <v/>
      </c>
      <c r="F424" s="18" t="str">
        <f t="shared" si="38"/>
        <v/>
      </c>
      <c r="G424" s="21" t="str">
        <f t="shared" si="39"/>
        <v/>
      </c>
      <c r="H424" s="9"/>
    </row>
    <row r="425" spans="1:8" ht="19.5" customHeight="1">
      <c r="A425" s="10"/>
      <c r="B425" s="27"/>
      <c r="C425" s="34"/>
      <c r="D425" s="11" t="str">
        <f t="shared" si="36"/>
        <v/>
      </c>
      <c r="E425" s="12" t="str">
        <f t="shared" si="37"/>
        <v/>
      </c>
      <c r="F425" s="19" t="str">
        <f t="shared" si="38"/>
        <v/>
      </c>
      <c r="G425" s="22" t="str">
        <f t="shared" si="39"/>
        <v/>
      </c>
      <c r="H425" s="13"/>
    </row>
    <row r="426" spans="1:8" ht="19.5" customHeight="1">
      <c r="A426" s="6"/>
      <c r="B426" s="26"/>
      <c r="C426" s="33"/>
      <c r="D426" s="7" t="str">
        <f t="shared" si="36"/>
        <v/>
      </c>
      <c r="E426" s="8" t="str">
        <f t="shared" si="37"/>
        <v/>
      </c>
      <c r="F426" s="18" t="str">
        <f t="shared" si="38"/>
        <v/>
      </c>
      <c r="G426" s="21" t="str">
        <f t="shared" si="39"/>
        <v/>
      </c>
      <c r="H426" s="9"/>
    </row>
    <row r="427" spans="1:8" ht="19.5" customHeight="1">
      <c r="A427" s="10"/>
      <c r="B427" s="27"/>
      <c r="C427" s="34"/>
      <c r="D427" s="11" t="str">
        <f t="shared" si="36"/>
        <v/>
      </c>
      <c r="E427" s="12" t="str">
        <f t="shared" si="37"/>
        <v/>
      </c>
      <c r="F427" s="19" t="str">
        <f t="shared" si="38"/>
        <v/>
      </c>
      <c r="G427" s="22" t="str">
        <f t="shared" si="39"/>
        <v/>
      </c>
      <c r="H427" s="13"/>
    </row>
    <row r="428" spans="1:8" ht="19.5" customHeight="1">
      <c r="A428" s="6"/>
      <c r="B428" s="26"/>
      <c r="C428" s="33"/>
      <c r="D428" s="7" t="str">
        <f t="shared" si="36"/>
        <v/>
      </c>
      <c r="E428" s="8" t="str">
        <f t="shared" si="37"/>
        <v/>
      </c>
      <c r="F428" s="18" t="str">
        <f t="shared" si="38"/>
        <v/>
      </c>
      <c r="G428" s="21" t="str">
        <f t="shared" si="39"/>
        <v/>
      </c>
      <c r="H428" s="9"/>
    </row>
    <row r="429" spans="1:8" ht="19.5" customHeight="1">
      <c r="A429" s="10"/>
      <c r="B429" s="27"/>
      <c r="C429" s="34"/>
      <c r="D429" s="11" t="str">
        <f t="shared" si="36"/>
        <v/>
      </c>
      <c r="E429" s="12" t="str">
        <f t="shared" si="37"/>
        <v/>
      </c>
      <c r="F429" s="19" t="str">
        <f t="shared" si="38"/>
        <v/>
      </c>
      <c r="G429" s="22" t="str">
        <f t="shared" si="39"/>
        <v/>
      </c>
      <c r="H429" s="13"/>
    </row>
    <row r="430" spans="1:8" ht="19.5" customHeight="1">
      <c r="A430" s="6"/>
      <c r="B430" s="26"/>
      <c r="C430" s="33"/>
      <c r="D430" s="7" t="str">
        <f t="shared" si="36"/>
        <v/>
      </c>
      <c r="E430" s="8" t="str">
        <f t="shared" si="37"/>
        <v/>
      </c>
      <c r="F430" s="18" t="str">
        <f t="shared" si="38"/>
        <v/>
      </c>
      <c r="G430" s="21" t="str">
        <f t="shared" si="39"/>
        <v/>
      </c>
      <c r="H430" s="9"/>
    </row>
    <row r="431" spans="1:8" ht="19.5" customHeight="1">
      <c r="A431" s="10"/>
      <c r="B431" s="27"/>
      <c r="C431" s="34"/>
      <c r="D431" s="11" t="str">
        <f t="shared" si="36"/>
        <v/>
      </c>
      <c r="E431" s="12" t="str">
        <f t="shared" si="37"/>
        <v/>
      </c>
      <c r="F431" s="19" t="str">
        <f t="shared" si="38"/>
        <v/>
      </c>
      <c r="G431" s="22" t="str">
        <f t="shared" si="39"/>
        <v/>
      </c>
      <c r="H431" s="13"/>
    </row>
    <row r="432" spans="1:8" ht="19.5" customHeight="1">
      <c r="A432" s="6"/>
      <c r="B432" s="26"/>
      <c r="C432" s="33"/>
      <c r="D432" s="7" t="str">
        <f t="shared" si="36"/>
        <v/>
      </c>
      <c r="E432" s="8" t="str">
        <f t="shared" si="37"/>
        <v/>
      </c>
      <c r="F432" s="18" t="str">
        <f t="shared" si="38"/>
        <v/>
      </c>
      <c r="G432" s="21" t="str">
        <f t="shared" si="39"/>
        <v/>
      </c>
      <c r="H432" s="9"/>
    </row>
    <row r="433" spans="1:8" ht="19.5" customHeight="1">
      <c r="A433" s="10"/>
      <c r="B433" s="27"/>
      <c r="C433" s="34"/>
      <c r="D433" s="11" t="str">
        <f t="shared" si="36"/>
        <v/>
      </c>
      <c r="E433" s="12" t="str">
        <f t="shared" si="37"/>
        <v/>
      </c>
      <c r="F433" s="19" t="str">
        <f t="shared" si="38"/>
        <v/>
      </c>
      <c r="G433" s="22" t="str">
        <f t="shared" si="39"/>
        <v/>
      </c>
      <c r="H433" s="13"/>
    </row>
    <row r="434" spans="1:8" ht="19.5" customHeight="1">
      <c r="A434" s="6"/>
      <c r="B434" s="26"/>
      <c r="C434" s="33"/>
      <c r="D434" s="7" t="str">
        <f t="shared" si="36"/>
        <v/>
      </c>
      <c r="E434" s="8" t="str">
        <f t="shared" si="37"/>
        <v/>
      </c>
      <c r="F434" s="18" t="str">
        <f t="shared" si="38"/>
        <v/>
      </c>
      <c r="G434" s="21" t="str">
        <f t="shared" si="39"/>
        <v/>
      </c>
      <c r="H434" s="9"/>
    </row>
    <row r="435" spans="1:8" ht="19.5" customHeight="1">
      <c r="A435" s="10"/>
      <c r="B435" s="27"/>
      <c r="C435" s="34"/>
      <c r="D435" s="11" t="str">
        <f t="shared" si="36"/>
        <v/>
      </c>
      <c r="E435" s="12" t="str">
        <f t="shared" si="37"/>
        <v/>
      </c>
      <c r="F435" s="19" t="str">
        <f t="shared" si="38"/>
        <v/>
      </c>
      <c r="G435" s="22" t="str">
        <f t="shared" si="39"/>
        <v/>
      </c>
      <c r="H435" s="13"/>
    </row>
    <row r="436" spans="1:8" ht="19.5" customHeight="1">
      <c r="A436" s="6"/>
      <c r="B436" s="26"/>
      <c r="C436" s="33"/>
      <c r="D436" s="7" t="str">
        <f t="shared" si="36"/>
        <v/>
      </c>
      <c r="E436" s="8" t="str">
        <f t="shared" si="37"/>
        <v/>
      </c>
      <c r="F436" s="18" t="str">
        <f t="shared" si="38"/>
        <v/>
      </c>
      <c r="G436" s="21" t="str">
        <f t="shared" si="39"/>
        <v/>
      </c>
      <c r="H436" s="9"/>
    </row>
    <row r="437" spans="1:8" ht="19.5" customHeight="1">
      <c r="A437" s="10"/>
      <c r="B437" s="27"/>
      <c r="C437" s="34"/>
      <c r="D437" s="11" t="str">
        <f t="shared" si="36"/>
        <v/>
      </c>
      <c r="E437" s="12" t="str">
        <f t="shared" si="37"/>
        <v/>
      </c>
      <c r="F437" s="19" t="str">
        <f t="shared" si="38"/>
        <v/>
      </c>
      <c r="G437" s="22" t="str">
        <f t="shared" si="39"/>
        <v/>
      </c>
      <c r="H437" s="13"/>
    </row>
    <row r="438" spans="1:8" ht="19.5" customHeight="1">
      <c r="A438" s="6"/>
      <c r="B438" s="26"/>
      <c r="C438" s="33"/>
      <c r="D438" s="7" t="str">
        <f t="shared" si="36"/>
        <v/>
      </c>
      <c r="E438" s="8" t="str">
        <f t="shared" si="37"/>
        <v/>
      </c>
      <c r="F438" s="18" t="str">
        <f t="shared" si="38"/>
        <v/>
      </c>
      <c r="G438" s="21" t="str">
        <f t="shared" si="39"/>
        <v/>
      </c>
      <c r="H438" s="9"/>
    </row>
    <row r="439" spans="1:8" ht="19.5" customHeight="1">
      <c r="A439" s="10"/>
      <c r="B439" s="27"/>
      <c r="C439" s="34"/>
      <c r="D439" s="11" t="str">
        <f t="shared" si="36"/>
        <v/>
      </c>
      <c r="E439" s="12" t="str">
        <f t="shared" si="37"/>
        <v/>
      </c>
      <c r="F439" s="19" t="str">
        <f t="shared" si="38"/>
        <v/>
      </c>
      <c r="G439" s="22" t="str">
        <f t="shared" si="39"/>
        <v/>
      </c>
      <c r="H439" s="13"/>
    </row>
    <row r="440" spans="1:8" ht="19.5" customHeight="1">
      <c r="A440" s="6"/>
      <c r="B440" s="26"/>
      <c r="C440" s="33"/>
      <c r="D440" s="7" t="str">
        <f t="shared" si="36"/>
        <v/>
      </c>
      <c r="E440" s="8" t="str">
        <f t="shared" si="37"/>
        <v/>
      </c>
      <c r="F440" s="18" t="str">
        <f t="shared" si="38"/>
        <v/>
      </c>
      <c r="G440" s="21" t="str">
        <f t="shared" si="39"/>
        <v/>
      </c>
      <c r="H440" s="9"/>
    </row>
    <row r="441" spans="1:8" ht="19.5" customHeight="1">
      <c r="A441" s="10"/>
      <c r="B441" s="27"/>
      <c r="C441" s="34"/>
      <c r="D441" s="11" t="str">
        <f t="shared" si="36"/>
        <v/>
      </c>
      <c r="E441" s="12" t="str">
        <f t="shared" si="37"/>
        <v/>
      </c>
      <c r="F441" s="19" t="str">
        <f t="shared" si="38"/>
        <v/>
      </c>
      <c r="G441" s="22" t="str">
        <f t="shared" si="39"/>
        <v/>
      </c>
      <c r="H441" s="13"/>
    </row>
    <row r="442" spans="1:8" ht="19.5" customHeight="1">
      <c r="A442" s="6"/>
      <c r="B442" s="26"/>
      <c r="C442" s="33"/>
      <c r="D442" s="7" t="str">
        <f t="shared" si="36"/>
        <v/>
      </c>
      <c r="E442" s="8" t="str">
        <f t="shared" si="37"/>
        <v/>
      </c>
      <c r="F442" s="18" t="str">
        <f t="shared" si="38"/>
        <v/>
      </c>
      <c r="G442" s="21" t="str">
        <f t="shared" si="39"/>
        <v/>
      </c>
      <c r="H442" s="9"/>
    </row>
    <row r="443" spans="1:8" ht="19.5" customHeight="1">
      <c r="A443" s="10"/>
      <c r="B443" s="27"/>
      <c r="C443" s="34"/>
      <c r="D443" s="11" t="str">
        <f t="shared" si="36"/>
        <v/>
      </c>
      <c r="E443" s="12" t="str">
        <f t="shared" si="37"/>
        <v/>
      </c>
      <c r="F443" s="19" t="str">
        <f t="shared" si="38"/>
        <v/>
      </c>
      <c r="G443" s="22" t="str">
        <f t="shared" si="39"/>
        <v/>
      </c>
      <c r="H443" s="13"/>
    </row>
    <row r="444" spans="1:8" ht="19.5" customHeight="1">
      <c r="A444" s="6"/>
      <c r="B444" s="26"/>
      <c r="C444" s="33"/>
      <c r="D444" s="7" t="str">
        <f t="shared" si="36"/>
        <v/>
      </c>
      <c r="E444" s="8" t="str">
        <f t="shared" si="37"/>
        <v/>
      </c>
      <c r="F444" s="18" t="str">
        <f t="shared" si="38"/>
        <v/>
      </c>
      <c r="G444" s="21" t="str">
        <f t="shared" si="39"/>
        <v/>
      </c>
      <c r="H444" s="9"/>
    </row>
    <row r="445" spans="1:8" ht="19.5" customHeight="1">
      <c r="A445" s="10"/>
      <c r="B445" s="27"/>
      <c r="C445" s="34"/>
      <c r="D445" s="11" t="str">
        <f t="shared" si="36"/>
        <v/>
      </c>
      <c r="E445" s="12" t="str">
        <f t="shared" si="37"/>
        <v/>
      </c>
      <c r="F445" s="19" t="str">
        <f t="shared" si="38"/>
        <v/>
      </c>
      <c r="G445" s="22" t="str">
        <f t="shared" si="39"/>
        <v/>
      </c>
      <c r="H445" s="13"/>
    </row>
    <row r="446" spans="1:8" ht="19.5" customHeight="1">
      <c r="A446" s="6"/>
      <c r="B446" s="26"/>
      <c r="C446" s="33"/>
      <c r="D446" s="7" t="str">
        <f t="shared" si="36"/>
        <v/>
      </c>
      <c r="E446" s="8" t="str">
        <f t="shared" si="37"/>
        <v/>
      </c>
      <c r="F446" s="18" t="str">
        <f t="shared" si="38"/>
        <v/>
      </c>
      <c r="G446" s="21" t="str">
        <f t="shared" si="39"/>
        <v/>
      </c>
      <c r="H446" s="9"/>
    </row>
    <row r="447" spans="1:8" ht="19.5" customHeight="1">
      <c r="A447" s="10"/>
      <c r="B447" s="27"/>
      <c r="C447" s="34"/>
      <c r="D447" s="11" t="str">
        <f t="shared" si="36"/>
        <v/>
      </c>
      <c r="E447" s="12" t="str">
        <f t="shared" si="37"/>
        <v/>
      </c>
      <c r="F447" s="19" t="str">
        <f t="shared" si="38"/>
        <v/>
      </c>
      <c r="G447" s="22" t="str">
        <f t="shared" si="39"/>
        <v/>
      </c>
      <c r="H447" s="13"/>
    </row>
    <row r="448" spans="1:8" ht="19.5" customHeight="1">
      <c r="A448" s="6"/>
      <c r="B448" s="26"/>
      <c r="C448" s="33"/>
      <c r="D448" s="7" t="str">
        <f t="shared" si="36"/>
        <v/>
      </c>
      <c r="E448" s="8" t="str">
        <f t="shared" si="37"/>
        <v/>
      </c>
      <c r="F448" s="18" t="str">
        <f t="shared" si="38"/>
        <v/>
      </c>
      <c r="G448" s="21" t="str">
        <f t="shared" si="39"/>
        <v/>
      </c>
      <c r="H448" s="9"/>
    </row>
    <row r="449" spans="1:8" ht="19.5" customHeight="1">
      <c r="A449" s="10"/>
      <c r="B449" s="27"/>
      <c r="C449" s="34"/>
      <c r="D449" s="11" t="str">
        <f t="shared" si="36"/>
        <v/>
      </c>
      <c r="E449" s="12" t="str">
        <f t="shared" si="37"/>
        <v/>
      </c>
      <c r="F449" s="19" t="str">
        <f t="shared" si="38"/>
        <v/>
      </c>
      <c r="G449" s="22" t="str">
        <f t="shared" si="39"/>
        <v/>
      </c>
      <c r="H449" s="13"/>
    </row>
    <row r="450" spans="1:8" ht="19.5" customHeight="1">
      <c r="A450" s="6"/>
      <c r="B450" s="26"/>
      <c r="C450" s="33"/>
      <c r="D450" s="7" t="str">
        <f t="shared" si="36"/>
        <v/>
      </c>
      <c r="E450" s="8" t="str">
        <f t="shared" si="37"/>
        <v/>
      </c>
      <c r="F450" s="18" t="str">
        <f t="shared" si="38"/>
        <v/>
      </c>
      <c r="G450" s="21" t="str">
        <f t="shared" si="39"/>
        <v/>
      </c>
      <c r="H450" s="9"/>
    </row>
    <row r="451" spans="1:8" ht="19.5" customHeight="1">
      <c r="A451" s="10"/>
      <c r="B451" s="27"/>
      <c r="C451" s="34"/>
      <c r="D451" s="11" t="str">
        <f t="shared" si="36"/>
        <v/>
      </c>
      <c r="E451" s="12" t="str">
        <f t="shared" si="37"/>
        <v/>
      </c>
      <c r="F451" s="19" t="str">
        <f t="shared" si="38"/>
        <v/>
      </c>
      <c r="G451" s="22" t="str">
        <f t="shared" si="39"/>
        <v/>
      </c>
      <c r="H451" s="13"/>
    </row>
    <row r="452" spans="1:8" ht="19.5" customHeight="1">
      <c r="A452" s="6"/>
      <c r="B452" s="26"/>
      <c r="C452" s="33"/>
      <c r="D452" s="7" t="str">
        <f t="shared" si="36"/>
        <v/>
      </c>
      <c r="E452" s="8" t="str">
        <f t="shared" si="37"/>
        <v/>
      </c>
      <c r="F452" s="18" t="str">
        <f t="shared" si="38"/>
        <v/>
      </c>
      <c r="G452" s="21" t="str">
        <f t="shared" si="39"/>
        <v/>
      </c>
      <c r="H452" s="9"/>
    </row>
    <row r="453" spans="1:8" ht="19.5" customHeight="1">
      <c r="A453" s="10"/>
      <c r="B453" s="27"/>
      <c r="C453" s="34"/>
      <c r="D453" s="11" t="str">
        <f t="shared" si="36"/>
        <v/>
      </c>
      <c r="E453" s="12" t="str">
        <f t="shared" si="37"/>
        <v/>
      </c>
      <c r="F453" s="19" t="str">
        <f t="shared" si="38"/>
        <v/>
      </c>
      <c r="G453" s="22" t="str">
        <f t="shared" si="39"/>
        <v/>
      </c>
      <c r="H453" s="13"/>
    </row>
    <row r="454" spans="1:8" ht="19.5" customHeight="1">
      <c r="A454" s="6"/>
      <c r="B454" s="26"/>
      <c r="C454" s="33"/>
      <c r="D454" s="7" t="str">
        <f t="shared" si="36"/>
        <v/>
      </c>
      <c r="E454" s="8" t="str">
        <f t="shared" si="37"/>
        <v/>
      </c>
      <c r="F454" s="18" t="str">
        <f t="shared" si="38"/>
        <v/>
      </c>
      <c r="G454" s="21" t="str">
        <f t="shared" si="39"/>
        <v/>
      </c>
      <c r="H454" s="9"/>
    </row>
    <row r="455" spans="1:8" ht="19.5" customHeight="1">
      <c r="A455" s="10"/>
      <c r="B455" s="27"/>
      <c r="C455" s="34"/>
      <c r="D455" s="11" t="str">
        <f t="shared" si="36"/>
        <v/>
      </c>
      <c r="E455" s="12" t="str">
        <f t="shared" si="37"/>
        <v/>
      </c>
      <c r="F455" s="19" t="str">
        <f t="shared" si="38"/>
        <v/>
      </c>
      <c r="G455" s="22" t="str">
        <f t="shared" si="39"/>
        <v/>
      </c>
      <c r="H455" s="13"/>
    </row>
    <row r="456" spans="1:8" ht="19.5" customHeight="1">
      <c r="A456" s="6"/>
      <c r="B456" s="26"/>
      <c r="C456" s="33"/>
      <c r="D456" s="7" t="str">
        <f t="shared" si="36"/>
        <v/>
      </c>
      <c r="E456" s="8" t="str">
        <f t="shared" si="37"/>
        <v/>
      </c>
      <c r="F456" s="18" t="str">
        <f t="shared" si="38"/>
        <v/>
      </c>
      <c r="G456" s="21" t="str">
        <f t="shared" si="39"/>
        <v/>
      </c>
      <c r="H456" s="9"/>
    </row>
    <row r="457" spans="1:8" ht="19.5" customHeight="1">
      <c r="A457" s="10"/>
      <c r="B457" s="27"/>
      <c r="C457" s="34"/>
      <c r="D457" s="11" t="str">
        <f t="shared" si="36"/>
        <v/>
      </c>
      <c r="E457" s="12" t="str">
        <f t="shared" si="37"/>
        <v/>
      </c>
      <c r="F457" s="19" t="str">
        <f t="shared" si="38"/>
        <v/>
      </c>
      <c r="G457" s="22" t="str">
        <f t="shared" si="39"/>
        <v/>
      </c>
      <c r="H457" s="13"/>
    </row>
    <row r="458" spans="1:8" ht="19.5" customHeight="1">
      <c r="A458" s="6"/>
      <c r="B458" s="26"/>
      <c r="C458" s="33"/>
      <c r="D458" s="7" t="str">
        <f t="shared" si="36"/>
        <v/>
      </c>
      <c r="E458" s="8" t="str">
        <f t="shared" si="37"/>
        <v/>
      </c>
      <c r="F458" s="18" t="str">
        <f t="shared" si="38"/>
        <v/>
      </c>
      <c r="G458" s="21" t="str">
        <f t="shared" si="39"/>
        <v/>
      </c>
      <c r="H458" s="9"/>
    </row>
    <row r="459" spans="1:8" ht="19.5" customHeight="1">
      <c r="A459" s="10"/>
      <c r="B459" s="27"/>
      <c r="C459" s="34"/>
      <c r="D459" s="11" t="str">
        <f t="shared" si="36"/>
        <v/>
      </c>
      <c r="E459" s="12" t="str">
        <f t="shared" si="37"/>
        <v/>
      </c>
      <c r="F459" s="19" t="str">
        <f t="shared" si="38"/>
        <v/>
      </c>
      <c r="G459" s="22" t="str">
        <f t="shared" si="39"/>
        <v/>
      </c>
      <c r="H459" s="13"/>
    </row>
    <row r="460" spans="1:8" ht="19.5" customHeight="1">
      <c r="A460" s="6"/>
      <c r="B460" s="26"/>
      <c r="C460" s="33"/>
      <c r="D460" s="7" t="str">
        <f t="shared" si="36"/>
        <v/>
      </c>
      <c r="E460" s="8" t="str">
        <f t="shared" si="37"/>
        <v/>
      </c>
      <c r="F460" s="18" t="str">
        <f t="shared" si="38"/>
        <v/>
      </c>
      <c r="G460" s="21" t="str">
        <f t="shared" si="39"/>
        <v/>
      </c>
      <c r="H460" s="9"/>
    </row>
    <row r="461" spans="1:8" ht="19.5" customHeight="1">
      <c r="A461" s="10"/>
      <c r="B461" s="27"/>
      <c r="C461" s="34"/>
      <c r="D461" s="11" t="str">
        <f t="shared" si="36"/>
        <v/>
      </c>
      <c r="E461" s="12" t="str">
        <f t="shared" si="37"/>
        <v/>
      </c>
      <c r="F461" s="19" t="str">
        <f t="shared" si="38"/>
        <v/>
      </c>
      <c r="G461" s="22" t="str">
        <f t="shared" si="39"/>
        <v/>
      </c>
      <c r="H461" s="13"/>
    </row>
    <row r="462" spans="1:8" ht="19.5" customHeight="1">
      <c r="A462" s="6"/>
      <c r="B462" s="26"/>
      <c r="C462" s="33"/>
      <c r="D462" s="7" t="str">
        <f t="shared" si="36"/>
        <v/>
      </c>
      <c r="E462" s="8" t="str">
        <f t="shared" si="37"/>
        <v/>
      </c>
      <c r="F462" s="18" t="str">
        <f t="shared" si="38"/>
        <v/>
      </c>
      <c r="G462" s="21" t="str">
        <f t="shared" si="39"/>
        <v/>
      </c>
      <c r="H462" s="9"/>
    </row>
    <row r="463" spans="1:8" ht="19.5" customHeight="1">
      <c r="A463" s="10"/>
      <c r="B463" s="27"/>
      <c r="C463" s="34"/>
      <c r="D463" s="11" t="str">
        <f t="shared" si="36"/>
        <v/>
      </c>
      <c r="E463" s="12" t="str">
        <f t="shared" si="37"/>
        <v/>
      </c>
      <c r="F463" s="19" t="str">
        <f t="shared" si="38"/>
        <v/>
      </c>
      <c r="G463" s="22" t="str">
        <f t="shared" si="39"/>
        <v/>
      </c>
      <c r="H463" s="13"/>
    </row>
    <row r="464" spans="1:8" ht="19.5" customHeight="1">
      <c r="A464" s="6"/>
      <c r="B464" s="26"/>
      <c r="C464" s="33"/>
      <c r="D464" s="7" t="str">
        <f t="shared" si="36"/>
        <v/>
      </c>
      <c r="E464" s="8" t="str">
        <f t="shared" si="37"/>
        <v/>
      </c>
      <c r="F464" s="18" t="str">
        <f t="shared" si="38"/>
        <v/>
      </c>
      <c r="G464" s="21" t="str">
        <f t="shared" si="39"/>
        <v/>
      </c>
      <c r="H464" s="9"/>
    </row>
    <row r="465" spans="1:8" ht="19.5" customHeight="1">
      <c r="A465" s="10"/>
      <c r="B465" s="27"/>
      <c r="C465" s="34"/>
      <c r="D465" s="11" t="str">
        <f t="shared" si="36"/>
        <v/>
      </c>
      <c r="E465" s="12" t="str">
        <f t="shared" si="37"/>
        <v/>
      </c>
      <c r="F465" s="19" t="str">
        <f t="shared" si="38"/>
        <v/>
      </c>
      <c r="G465" s="22" t="str">
        <f t="shared" si="39"/>
        <v/>
      </c>
      <c r="H465" s="13"/>
    </row>
    <row r="466" spans="1:8" ht="19.5" customHeight="1">
      <c r="A466" s="6"/>
      <c r="B466" s="26"/>
      <c r="C466" s="33"/>
      <c r="D466" s="7" t="str">
        <f t="shared" si="36"/>
        <v/>
      </c>
      <c r="E466" s="8" t="str">
        <f t="shared" si="37"/>
        <v/>
      </c>
      <c r="F466" s="18" t="str">
        <f t="shared" si="38"/>
        <v/>
      </c>
      <c r="G466" s="21" t="str">
        <f t="shared" si="39"/>
        <v/>
      </c>
      <c r="H466" s="9"/>
    </row>
    <row r="467" spans="1:8" ht="19.5" customHeight="1">
      <c r="A467" s="10"/>
      <c r="B467" s="27"/>
      <c r="C467" s="34"/>
      <c r="D467" s="11" t="str">
        <f t="shared" si="36"/>
        <v/>
      </c>
      <c r="E467" s="12" t="str">
        <f t="shared" si="37"/>
        <v/>
      </c>
      <c r="F467" s="19" t="str">
        <f t="shared" si="38"/>
        <v/>
      </c>
      <c r="G467" s="22" t="str">
        <f t="shared" si="39"/>
        <v/>
      </c>
      <c r="H467" s="13"/>
    </row>
    <row r="468" spans="1:8" ht="19.5" customHeight="1">
      <c r="A468" s="6"/>
      <c r="B468" s="26"/>
      <c r="C468" s="33"/>
      <c r="D468" s="7" t="str">
        <f t="shared" ref="D468:D531" si="40">IF(C468="","",C468*$B$1)</f>
        <v/>
      </c>
      <c r="E468" s="8" t="str">
        <f t="shared" ref="E468:E531" si="41">IF(C468="","",C468-D468)</f>
        <v/>
      </c>
      <c r="F468" s="18" t="str">
        <f t="shared" ref="F468:F531" si="42">IF(OR(B468="",C468=""),"",E468-B468)</f>
        <v/>
      </c>
      <c r="G468" s="21" t="str">
        <f t="shared" ref="G468:G531" si="43">IF(OR(B468="",B468=0),"",F468/B468)</f>
        <v/>
      </c>
      <c r="H468" s="9"/>
    </row>
    <row r="469" spans="1:8" ht="19.5" customHeight="1">
      <c r="A469" s="10"/>
      <c r="B469" s="27"/>
      <c r="C469" s="34"/>
      <c r="D469" s="11" t="str">
        <f t="shared" si="40"/>
        <v/>
      </c>
      <c r="E469" s="12" t="str">
        <f t="shared" si="41"/>
        <v/>
      </c>
      <c r="F469" s="19" t="str">
        <f t="shared" si="42"/>
        <v/>
      </c>
      <c r="G469" s="22" t="str">
        <f t="shared" si="43"/>
        <v/>
      </c>
      <c r="H469" s="13"/>
    </row>
    <row r="470" spans="1:8" ht="19.5" customHeight="1">
      <c r="A470" s="6"/>
      <c r="B470" s="26"/>
      <c r="C470" s="33"/>
      <c r="D470" s="7" t="str">
        <f t="shared" si="40"/>
        <v/>
      </c>
      <c r="E470" s="8" t="str">
        <f t="shared" si="41"/>
        <v/>
      </c>
      <c r="F470" s="18" t="str">
        <f t="shared" si="42"/>
        <v/>
      </c>
      <c r="G470" s="21" t="str">
        <f t="shared" si="43"/>
        <v/>
      </c>
      <c r="H470" s="9"/>
    </row>
    <row r="471" spans="1:8" ht="19.5" customHeight="1">
      <c r="A471" s="10"/>
      <c r="B471" s="27"/>
      <c r="C471" s="34"/>
      <c r="D471" s="11" t="str">
        <f t="shared" si="40"/>
        <v/>
      </c>
      <c r="E471" s="12" t="str">
        <f t="shared" si="41"/>
        <v/>
      </c>
      <c r="F471" s="19" t="str">
        <f t="shared" si="42"/>
        <v/>
      </c>
      <c r="G471" s="22" t="str">
        <f t="shared" si="43"/>
        <v/>
      </c>
      <c r="H471" s="13"/>
    </row>
    <row r="472" spans="1:8" ht="19.5" customHeight="1">
      <c r="A472" s="6"/>
      <c r="B472" s="26"/>
      <c r="C472" s="33"/>
      <c r="D472" s="7" t="str">
        <f t="shared" si="40"/>
        <v/>
      </c>
      <c r="E472" s="8" t="str">
        <f t="shared" si="41"/>
        <v/>
      </c>
      <c r="F472" s="18" t="str">
        <f t="shared" si="42"/>
        <v/>
      </c>
      <c r="G472" s="21" t="str">
        <f t="shared" si="43"/>
        <v/>
      </c>
      <c r="H472" s="9"/>
    </row>
    <row r="473" spans="1:8" ht="19.5" customHeight="1">
      <c r="A473" s="10"/>
      <c r="B473" s="27"/>
      <c r="C473" s="34"/>
      <c r="D473" s="11" t="str">
        <f t="shared" si="40"/>
        <v/>
      </c>
      <c r="E473" s="12" t="str">
        <f t="shared" si="41"/>
        <v/>
      </c>
      <c r="F473" s="19" t="str">
        <f t="shared" si="42"/>
        <v/>
      </c>
      <c r="G473" s="22" t="str">
        <f t="shared" si="43"/>
        <v/>
      </c>
      <c r="H473" s="13"/>
    </row>
    <row r="474" spans="1:8" ht="19.5" customHeight="1">
      <c r="A474" s="6"/>
      <c r="B474" s="26"/>
      <c r="C474" s="33"/>
      <c r="D474" s="7" t="str">
        <f t="shared" si="40"/>
        <v/>
      </c>
      <c r="E474" s="8" t="str">
        <f t="shared" si="41"/>
        <v/>
      </c>
      <c r="F474" s="18" t="str">
        <f t="shared" si="42"/>
        <v/>
      </c>
      <c r="G474" s="21" t="str">
        <f t="shared" si="43"/>
        <v/>
      </c>
      <c r="H474" s="9"/>
    </row>
    <row r="475" spans="1:8" ht="19.5" customHeight="1">
      <c r="A475" s="10"/>
      <c r="B475" s="27"/>
      <c r="C475" s="34"/>
      <c r="D475" s="11" t="str">
        <f t="shared" si="40"/>
        <v/>
      </c>
      <c r="E475" s="12" t="str">
        <f t="shared" si="41"/>
        <v/>
      </c>
      <c r="F475" s="19" t="str">
        <f t="shared" si="42"/>
        <v/>
      </c>
      <c r="G475" s="22" t="str">
        <f t="shared" si="43"/>
        <v/>
      </c>
      <c r="H475" s="13"/>
    </row>
    <row r="476" spans="1:8" ht="19.5" customHeight="1">
      <c r="A476" s="6"/>
      <c r="B476" s="26"/>
      <c r="C476" s="33"/>
      <c r="D476" s="7" t="str">
        <f t="shared" si="40"/>
        <v/>
      </c>
      <c r="E476" s="8" t="str">
        <f t="shared" si="41"/>
        <v/>
      </c>
      <c r="F476" s="18" t="str">
        <f t="shared" si="42"/>
        <v/>
      </c>
      <c r="G476" s="21" t="str">
        <f t="shared" si="43"/>
        <v/>
      </c>
      <c r="H476" s="9"/>
    </row>
    <row r="477" spans="1:8" ht="19.5" customHeight="1">
      <c r="A477" s="10"/>
      <c r="B477" s="27"/>
      <c r="C477" s="34"/>
      <c r="D477" s="11" t="str">
        <f t="shared" si="40"/>
        <v/>
      </c>
      <c r="E477" s="12" t="str">
        <f t="shared" si="41"/>
        <v/>
      </c>
      <c r="F477" s="19" t="str">
        <f t="shared" si="42"/>
        <v/>
      </c>
      <c r="G477" s="22" t="str">
        <f t="shared" si="43"/>
        <v/>
      </c>
      <c r="H477" s="13"/>
    </row>
    <row r="478" spans="1:8" ht="19.5" customHeight="1">
      <c r="A478" s="6"/>
      <c r="B478" s="26"/>
      <c r="C478" s="33"/>
      <c r="D478" s="7" t="str">
        <f t="shared" si="40"/>
        <v/>
      </c>
      <c r="E478" s="8" t="str">
        <f t="shared" si="41"/>
        <v/>
      </c>
      <c r="F478" s="18" t="str">
        <f t="shared" si="42"/>
        <v/>
      </c>
      <c r="G478" s="21" t="str">
        <f t="shared" si="43"/>
        <v/>
      </c>
      <c r="H478" s="9"/>
    </row>
    <row r="479" spans="1:8" ht="19.5" customHeight="1">
      <c r="A479" s="10"/>
      <c r="B479" s="27"/>
      <c r="C479" s="34"/>
      <c r="D479" s="11" t="str">
        <f t="shared" si="40"/>
        <v/>
      </c>
      <c r="E479" s="12" t="str">
        <f t="shared" si="41"/>
        <v/>
      </c>
      <c r="F479" s="19" t="str">
        <f t="shared" si="42"/>
        <v/>
      </c>
      <c r="G479" s="22" t="str">
        <f t="shared" si="43"/>
        <v/>
      </c>
      <c r="H479" s="13"/>
    </row>
    <row r="480" spans="1:8" ht="19.5" customHeight="1">
      <c r="A480" s="6"/>
      <c r="B480" s="26"/>
      <c r="C480" s="33"/>
      <c r="D480" s="7" t="str">
        <f t="shared" si="40"/>
        <v/>
      </c>
      <c r="E480" s="8" t="str">
        <f t="shared" si="41"/>
        <v/>
      </c>
      <c r="F480" s="18" t="str">
        <f t="shared" si="42"/>
        <v/>
      </c>
      <c r="G480" s="21" t="str">
        <f t="shared" si="43"/>
        <v/>
      </c>
      <c r="H480" s="9"/>
    </row>
    <row r="481" spans="1:8" ht="19.5" customHeight="1">
      <c r="A481" s="10"/>
      <c r="B481" s="27"/>
      <c r="C481" s="34"/>
      <c r="D481" s="11" t="str">
        <f t="shared" si="40"/>
        <v/>
      </c>
      <c r="E481" s="12" t="str">
        <f t="shared" si="41"/>
        <v/>
      </c>
      <c r="F481" s="19" t="str">
        <f t="shared" si="42"/>
        <v/>
      </c>
      <c r="G481" s="22" t="str">
        <f t="shared" si="43"/>
        <v/>
      </c>
      <c r="H481" s="13"/>
    </row>
    <row r="482" spans="1:8" ht="19.5" customHeight="1">
      <c r="A482" s="6"/>
      <c r="B482" s="26"/>
      <c r="C482" s="33"/>
      <c r="D482" s="7" t="str">
        <f t="shared" si="40"/>
        <v/>
      </c>
      <c r="E482" s="8" t="str">
        <f t="shared" si="41"/>
        <v/>
      </c>
      <c r="F482" s="18" t="str">
        <f t="shared" si="42"/>
        <v/>
      </c>
      <c r="G482" s="21" t="str">
        <f t="shared" si="43"/>
        <v/>
      </c>
      <c r="H482" s="9"/>
    </row>
    <row r="483" spans="1:8" ht="19.5" customHeight="1">
      <c r="A483" s="10"/>
      <c r="B483" s="27"/>
      <c r="C483" s="34"/>
      <c r="D483" s="11" t="str">
        <f t="shared" si="40"/>
        <v/>
      </c>
      <c r="E483" s="12" t="str">
        <f t="shared" si="41"/>
        <v/>
      </c>
      <c r="F483" s="19" t="str">
        <f t="shared" si="42"/>
        <v/>
      </c>
      <c r="G483" s="22" t="str">
        <f t="shared" si="43"/>
        <v/>
      </c>
      <c r="H483" s="13"/>
    </row>
    <row r="484" spans="1:8" ht="19.5" customHeight="1">
      <c r="A484" s="6"/>
      <c r="B484" s="26"/>
      <c r="C484" s="33"/>
      <c r="D484" s="7" t="str">
        <f t="shared" si="40"/>
        <v/>
      </c>
      <c r="E484" s="8" t="str">
        <f t="shared" si="41"/>
        <v/>
      </c>
      <c r="F484" s="18" t="str">
        <f t="shared" si="42"/>
        <v/>
      </c>
      <c r="G484" s="21" t="str">
        <f t="shared" si="43"/>
        <v/>
      </c>
      <c r="H484" s="9"/>
    </row>
    <row r="485" spans="1:8" ht="19.5" customHeight="1">
      <c r="A485" s="10"/>
      <c r="B485" s="27"/>
      <c r="C485" s="34"/>
      <c r="D485" s="11" t="str">
        <f t="shared" si="40"/>
        <v/>
      </c>
      <c r="E485" s="12" t="str">
        <f t="shared" si="41"/>
        <v/>
      </c>
      <c r="F485" s="19" t="str">
        <f t="shared" si="42"/>
        <v/>
      </c>
      <c r="G485" s="22" t="str">
        <f t="shared" si="43"/>
        <v/>
      </c>
      <c r="H485" s="13"/>
    </row>
    <row r="486" spans="1:8" ht="19.5" customHeight="1">
      <c r="A486" s="6"/>
      <c r="B486" s="26"/>
      <c r="C486" s="33"/>
      <c r="D486" s="7" t="str">
        <f t="shared" si="40"/>
        <v/>
      </c>
      <c r="E486" s="8" t="str">
        <f t="shared" si="41"/>
        <v/>
      </c>
      <c r="F486" s="18" t="str">
        <f t="shared" si="42"/>
        <v/>
      </c>
      <c r="G486" s="21" t="str">
        <f t="shared" si="43"/>
        <v/>
      </c>
      <c r="H486" s="9"/>
    </row>
    <row r="487" spans="1:8" ht="19.5" customHeight="1">
      <c r="A487" s="10"/>
      <c r="B487" s="27"/>
      <c r="C487" s="34"/>
      <c r="D487" s="11" t="str">
        <f t="shared" si="40"/>
        <v/>
      </c>
      <c r="E487" s="12" t="str">
        <f t="shared" si="41"/>
        <v/>
      </c>
      <c r="F487" s="19" t="str">
        <f t="shared" si="42"/>
        <v/>
      </c>
      <c r="G487" s="22" t="str">
        <f t="shared" si="43"/>
        <v/>
      </c>
      <c r="H487" s="13"/>
    </row>
    <row r="488" spans="1:8" ht="19.5" customHeight="1">
      <c r="A488" s="6"/>
      <c r="B488" s="26"/>
      <c r="C488" s="33"/>
      <c r="D488" s="7" t="str">
        <f t="shared" si="40"/>
        <v/>
      </c>
      <c r="E488" s="8" t="str">
        <f t="shared" si="41"/>
        <v/>
      </c>
      <c r="F488" s="18" t="str">
        <f t="shared" si="42"/>
        <v/>
      </c>
      <c r="G488" s="21" t="str">
        <f t="shared" si="43"/>
        <v/>
      </c>
      <c r="H488" s="9"/>
    </row>
    <row r="489" spans="1:8" ht="19.5" customHeight="1">
      <c r="A489" s="10"/>
      <c r="B489" s="27"/>
      <c r="C489" s="34"/>
      <c r="D489" s="11" t="str">
        <f t="shared" si="40"/>
        <v/>
      </c>
      <c r="E489" s="12" t="str">
        <f t="shared" si="41"/>
        <v/>
      </c>
      <c r="F489" s="19" t="str">
        <f t="shared" si="42"/>
        <v/>
      </c>
      <c r="G489" s="22" t="str">
        <f t="shared" si="43"/>
        <v/>
      </c>
      <c r="H489" s="13"/>
    </row>
    <row r="490" spans="1:8" ht="19.5" customHeight="1">
      <c r="A490" s="6"/>
      <c r="B490" s="26"/>
      <c r="C490" s="33"/>
      <c r="D490" s="7" t="str">
        <f t="shared" si="40"/>
        <v/>
      </c>
      <c r="E490" s="8" t="str">
        <f t="shared" si="41"/>
        <v/>
      </c>
      <c r="F490" s="18" t="str">
        <f t="shared" si="42"/>
        <v/>
      </c>
      <c r="G490" s="21" t="str">
        <f t="shared" si="43"/>
        <v/>
      </c>
      <c r="H490" s="9"/>
    </row>
    <row r="491" spans="1:8" ht="19.5" customHeight="1">
      <c r="A491" s="10"/>
      <c r="B491" s="27"/>
      <c r="C491" s="34"/>
      <c r="D491" s="11" t="str">
        <f t="shared" si="40"/>
        <v/>
      </c>
      <c r="E491" s="12" t="str">
        <f t="shared" si="41"/>
        <v/>
      </c>
      <c r="F491" s="19" t="str">
        <f t="shared" si="42"/>
        <v/>
      </c>
      <c r="G491" s="22" t="str">
        <f t="shared" si="43"/>
        <v/>
      </c>
      <c r="H491" s="13"/>
    </row>
    <row r="492" spans="1:8" ht="19.5" customHeight="1">
      <c r="A492" s="6"/>
      <c r="B492" s="26"/>
      <c r="C492" s="33"/>
      <c r="D492" s="7" t="str">
        <f t="shared" si="40"/>
        <v/>
      </c>
      <c r="E492" s="8" t="str">
        <f t="shared" si="41"/>
        <v/>
      </c>
      <c r="F492" s="18" t="str">
        <f t="shared" si="42"/>
        <v/>
      </c>
      <c r="G492" s="21" t="str">
        <f t="shared" si="43"/>
        <v/>
      </c>
      <c r="H492" s="9"/>
    </row>
    <row r="493" spans="1:8" ht="19.5" customHeight="1">
      <c r="A493" s="10"/>
      <c r="B493" s="27"/>
      <c r="C493" s="34"/>
      <c r="D493" s="11" t="str">
        <f t="shared" si="40"/>
        <v/>
      </c>
      <c r="E493" s="12" t="str">
        <f t="shared" si="41"/>
        <v/>
      </c>
      <c r="F493" s="19" t="str">
        <f t="shared" si="42"/>
        <v/>
      </c>
      <c r="G493" s="22" t="str">
        <f t="shared" si="43"/>
        <v/>
      </c>
      <c r="H493" s="13"/>
    </row>
    <row r="494" spans="1:8" ht="19.5" customHeight="1">
      <c r="A494" s="6"/>
      <c r="B494" s="26"/>
      <c r="C494" s="33"/>
      <c r="D494" s="7" t="str">
        <f t="shared" si="40"/>
        <v/>
      </c>
      <c r="E494" s="8" t="str">
        <f t="shared" si="41"/>
        <v/>
      </c>
      <c r="F494" s="18" t="str">
        <f t="shared" si="42"/>
        <v/>
      </c>
      <c r="G494" s="21" t="str">
        <f t="shared" si="43"/>
        <v/>
      </c>
      <c r="H494" s="9"/>
    </row>
    <row r="495" spans="1:8" ht="19.5" customHeight="1">
      <c r="A495" s="10"/>
      <c r="B495" s="27"/>
      <c r="C495" s="34"/>
      <c r="D495" s="11" t="str">
        <f t="shared" si="40"/>
        <v/>
      </c>
      <c r="E495" s="12" t="str">
        <f t="shared" si="41"/>
        <v/>
      </c>
      <c r="F495" s="19" t="str">
        <f t="shared" si="42"/>
        <v/>
      </c>
      <c r="G495" s="22" t="str">
        <f t="shared" si="43"/>
        <v/>
      </c>
      <c r="H495" s="13"/>
    </row>
    <row r="496" spans="1:8" ht="19.5" customHeight="1">
      <c r="A496" s="6"/>
      <c r="B496" s="26"/>
      <c r="C496" s="33"/>
      <c r="D496" s="7" t="str">
        <f t="shared" si="40"/>
        <v/>
      </c>
      <c r="E496" s="8" t="str">
        <f t="shared" si="41"/>
        <v/>
      </c>
      <c r="F496" s="18" t="str">
        <f t="shared" si="42"/>
        <v/>
      </c>
      <c r="G496" s="21" t="str">
        <f t="shared" si="43"/>
        <v/>
      </c>
      <c r="H496" s="9"/>
    </row>
    <row r="497" spans="1:8" ht="19.5" customHeight="1">
      <c r="A497" s="10"/>
      <c r="B497" s="27"/>
      <c r="C497" s="34"/>
      <c r="D497" s="11" t="str">
        <f t="shared" si="40"/>
        <v/>
      </c>
      <c r="E497" s="12" t="str">
        <f t="shared" si="41"/>
        <v/>
      </c>
      <c r="F497" s="19" t="str">
        <f t="shared" si="42"/>
        <v/>
      </c>
      <c r="G497" s="22" t="str">
        <f t="shared" si="43"/>
        <v/>
      </c>
      <c r="H497" s="13"/>
    </row>
    <row r="498" spans="1:8" ht="19.5" customHeight="1">
      <c r="A498" s="6"/>
      <c r="B498" s="26"/>
      <c r="C498" s="33"/>
      <c r="D498" s="7" t="str">
        <f t="shared" si="40"/>
        <v/>
      </c>
      <c r="E498" s="8" t="str">
        <f t="shared" si="41"/>
        <v/>
      </c>
      <c r="F498" s="18" t="str">
        <f t="shared" si="42"/>
        <v/>
      </c>
      <c r="G498" s="21" t="str">
        <f t="shared" si="43"/>
        <v/>
      </c>
      <c r="H498" s="9"/>
    </row>
    <row r="499" spans="1:8" ht="19.5" customHeight="1">
      <c r="A499" s="10"/>
      <c r="B499" s="27"/>
      <c r="C499" s="34"/>
      <c r="D499" s="11" t="str">
        <f t="shared" si="40"/>
        <v/>
      </c>
      <c r="E499" s="12" t="str">
        <f t="shared" si="41"/>
        <v/>
      </c>
      <c r="F499" s="19" t="str">
        <f t="shared" si="42"/>
        <v/>
      </c>
      <c r="G499" s="22" t="str">
        <f t="shared" si="43"/>
        <v/>
      </c>
      <c r="H499" s="13"/>
    </row>
    <row r="500" spans="1:8" ht="19.5" customHeight="1">
      <c r="A500" s="6"/>
      <c r="B500" s="26"/>
      <c r="C500" s="33"/>
      <c r="D500" s="7" t="str">
        <f t="shared" si="40"/>
        <v/>
      </c>
      <c r="E500" s="8" t="str">
        <f t="shared" si="41"/>
        <v/>
      </c>
      <c r="F500" s="18" t="str">
        <f t="shared" si="42"/>
        <v/>
      </c>
      <c r="G500" s="21" t="str">
        <f t="shared" si="43"/>
        <v/>
      </c>
      <c r="H500" s="9"/>
    </row>
    <row r="501" spans="1:8" ht="19.5" customHeight="1">
      <c r="A501" s="10"/>
      <c r="B501" s="27"/>
      <c r="C501" s="34"/>
      <c r="D501" s="11" t="str">
        <f t="shared" si="40"/>
        <v/>
      </c>
      <c r="E501" s="12" t="str">
        <f t="shared" si="41"/>
        <v/>
      </c>
      <c r="F501" s="19" t="str">
        <f t="shared" si="42"/>
        <v/>
      </c>
      <c r="G501" s="22" t="str">
        <f t="shared" si="43"/>
        <v/>
      </c>
      <c r="H501" s="13"/>
    </row>
    <row r="502" spans="1:8" ht="19.5" customHeight="1">
      <c r="A502" s="6"/>
      <c r="B502" s="26"/>
      <c r="C502" s="33"/>
      <c r="D502" s="7" t="str">
        <f t="shared" si="40"/>
        <v/>
      </c>
      <c r="E502" s="8" t="str">
        <f t="shared" si="41"/>
        <v/>
      </c>
      <c r="F502" s="18" t="str">
        <f t="shared" si="42"/>
        <v/>
      </c>
      <c r="G502" s="21" t="str">
        <f t="shared" si="43"/>
        <v/>
      </c>
      <c r="H502" s="9"/>
    </row>
    <row r="503" spans="1:8" ht="19.5" customHeight="1">
      <c r="A503" s="10"/>
      <c r="B503" s="27"/>
      <c r="C503" s="34"/>
      <c r="D503" s="11" t="str">
        <f t="shared" si="40"/>
        <v/>
      </c>
      <c r="E503" s="12" t="str">
        <f t="shared" si="41"/>
        <v/>
      </c>
      <c r="F503" s="19" t="str">
        <f t="shared" si="42"/>
        <v/>
      </c>
      <c r="G503" s="22" t="str">
        <f t="shared" si="43"/>
        <v/>
      </c>
      <c r="H503" s="13"/>
    </row>
    <row r="504" spans="1:8" ht="19.5" customHeight="1">
      <c r="A504" s="6"/>
      <c r="B504" s="26"/>
      <c r="C504" s="33"/>
      <c r="D504" s="7" t="str">
        <f t="shared" si="40"/>
        <v/>
      </c>
      <c r="E504" s="8" t="str">
        <f t="shared" si="41"/>
        <v/>
      </c>
      <c r="F504" s="18" t="str">
        <f t="shared" si="42"/>
        <v/>
      </c>
      <c r="G504" s="21" t="str">
        <f t="shared" si="43"/>
        <v/>
      </c>
      <c r="H504" s="9"/>
    </row>
    <row r="505" spans="1:8" ht="19.5" customHeight="1">
      <c r="A505" s="10"/>
      <c r="B505" s="27"/>
      <c r="C505" s="34"/>
      <c r="D505" s="11" t="str">
        <f t="shared" si="40"/>
        <v/>
      </c>
      <c r="E505" s="12" t="str">
        <f t="shared" si="41"/>
        <v/>
      </c>
      <c r="F505" s="19" t="str">
        <f t="shared" si="42"/>
        <v/>
      </c>
      <c r="G505" s="22" t="str">
        <f t="shared" si="43"/>
        <v/>
      </c>
      <c r="H505" s="13"/>
    </row>
    <row r="506" spans="1:8" ht="19.5" customHeight="1">
      <c r="A506" s="6"/>
      <c r="B506" s="26"/>
      <c r="C506" s="33"/>
      <c r="D506" s="7" t="str">
        <f t="shared" si="40"/>
        <v/>
      </c>
      <c r="E506" s="8" t="str">
        <f t="shared" si="41"/>
        <v/>
      </c>
      <c r="F506" s="18" t="str">
        <f t="shared" si="42"/>
        <v/>
      </c>
      <c r="G506" s="21" t="str">
        <f t="shared" si="43"/>
        <v/>
      </c>
      <c r="H506" s="9"/>
    </row>
    <row r="507" spans="1:8" ht="19.5" customHeight="1">
      <c r="A507" s="10"/>
      <c r="B507" s="27"/>
      <c r="C507" s="34"/>
      <c r="D507" s="11" t="str">
        <f t="shared" si="40"/>
        <v/>
      </c>
      <c r="E507" s="12" t="str">
        <f t="shared" si="41"/>
        <v/>
      </c>
      <c r="F507" s="19" t="str">
        <f t="shared" si="42"/>
        <v/>
      </c>
      <c r="G507" s="22" t="str">
        <f t="shared" si="43"/>
        <v/>
      </c>
      <c r="H507" s="13"/>
    </row>
    <row r="508" spans="1:8" ht="19.5" customHeight="1">
      <c r="A508" s="6"/>
      <c r="B508" s="26"/>
      <c r="C508" s="33"/>
      <c r="D508" s="7" t="str">
        <f t="shared" si="40"/>
        <v/>
      </c>
      <c r="E508" s="8" t="str">
        <f t="shared" si="41"/>
        <v/>
      </c>
      <c r="F508" s="18" t="str">
        <f t="shared" si="42"/>
        <v/>
      </c>
      <c r="G508" s="21" t="str">
        <f t="shared" si="43"/>
        <v/>
      </c>
      <c r="H508" s="9"/>
    </row>
    <row r="509" spans="1:8" ht="19.5" customHeight="1">
      <c r="A509" s="10"/>
      <c r="B509" s="27"/>
      <c r="C509" s="34"/>
      <c r="D509" s="11" t="str">
        <f t="shared" si="40"/>
        <v/>
      </c>
      <c r="E509" s="12" t="str">
        <f t="shared" si="41"/>
        <v/>
      </c>
      <c r="F509" s="19" t="str">
        <f t="shared" si="42"/>
        <v/>
      </c>
      <c r="G509" s="22" t="str">
        <f t="shared" si="43"/>
        <v/>
      </c>
      <c r="H509" s="13"/>
    </row>
    <row r="510" spans="1:8" ht="19.5" customHeight="1">
      <c r="A510" s="6"/>
      <c r="B510" s="26"/>
      <c r="C510" s="33"/>
      <c r="D510" s="7" t="str">
        <f t="shared" si="40"/>
        <v/>
      </c>
      <c r="E510" s="8" t="str">
        <f t="shared" si="41"/>
        <v/>
      </c>
      <c r="F510" s="18" t="str">
        <f t="shared" si="42"/>
        <v/>
      </c>
      <c r="G510" s="21" t="str">
        <f t="shared" si="43"/>
        <v/>
      </c>
      <c r="H510" s="9"/>
    </row>
    <row r="511" spans="1:8" ht="19.5" customHeight="1">
      <c r="A511" s="10"/>
      <c r="B511" s="27"/>
      <c r="C511" s="34"/>
      <c r="D511" s="11" t="str">
        <f t="shared" si="40"/>
        <v/>
      </c>
      <c r="E511" s="12" t="str">
        <f t="shared" si="41"/>
        <v/>
      </c>
      <c r="F511" s="19" t="str">
        <f t="shared" si="42"/>
        <v/>
      </c>
      <c r="G511" s="22" t="str">
        <f t="shared" si="43"/>
        <v/>
      </c>
      <c r="H511" s="13"/>
    </row>
    <row r="512" spans="1:8" ht="19.5" customHeight="1">
      <c r="A512" s="6"/>
      <c r="B512" s="26"/>
      <c r="C512" s="33"/>
      <c r="D512" s="7" t="str">
        <f t="shared" si="40"/>
        <v/>
      </c>
      <c r="E512" s="8" t="str">
        <f t="shared" si="41"/>
        <v/>
      </c>
      <c r="F512" s="18" t="str">
        <f t="shared" si="42"/>
        <v/>
      </c>
      <c r="G512" s="21" t="str">
        <f t="shared" si="43"/>
        <v/>
      </c>
      <c r="H512" s="9"/>
    </row>
    <row r="513" spans="1:8" ht="19.5" customHeight="1">
      <c r="A513" s="10"/>
      <c r="B513" s="27"/>
      <c r="C513" s="34"/>
      <c r="D513" s="11" t="str">
        <f t="shared" si="40"/>
        <v/>
      </c>
      <c r="E513" s="12" t="str">
        <f t="shared" si="41"/>
        <v/>
      </c>
      <c r="F513" s="19" t="str">
        <f t="shared" si="42"/>
        <v/>
      </c>
      <c r="G513" s="22" t="str">
        <f t="shared" si="43"/>
        <v/>
      </c>
      <c r="H513" s="13"/>
    </row>
    <row r="514" spans="1:8" ht="19.5" customHeight="1">
      <c r="A514" s="6"/>
      <c r="B514" s="26"/>
      <c r="C514" s="33"/>
      <c r="D514" s="7" t="str">
        <f t="shared" si="40"/>
        <v/>
      </c>
      <c r="E514" s="8" t="str">
        <f t="shared" si="41"/>
        <v/>
      </c>
      <c r="F514" s="18" t="str">
        <f t="shared" si="42"/>
        <v/>
      </c>
      <c r="G514" s="21" t="str">
        <f t="shared" si="43"/>
        <v/>
      </c>
      <c r="H514" s="9"/>
    </row>
    <row r="515" spans="1:8" ht="19.5" customHeight="1">
      <c r="A515" s="10"/>
      <c r="B515" s="27"/>
      <c r="C515" s="34"/>
      <c r="D515" s="11" t="str">
        <f t="shared" si="40"/>
        <v/>
      </c>
      <c r="E515" s="12" t="str">
        <f t="shared" si="41"/>
        <v/>
      </c>
      <c r="F515" s="19" t="str">
        <f t="shared" si="42"/>
        <v/>
      </c>
      <c r="G515" s="22" t="str">
        <f t="shared" si="43"/>
        <v/>
      </c>
      <c r="H515" s="13"/>
    </row>
    <row r="516" spans="1:8" ht="19.5" customHeight="1">
      <c r="A516" s="6"/>
      <c r="B516" s="26"/>
      <c r="C516" s="33"/>
      <c r="D516" s="7" t="str">
        <f t="shared" si="40"/>
        <v/>
      </c>
      <c r="E516" s="8" t="str">
        <f t="shared" si="41"/>
        <v/>
      </c>
      <c r="F516" s="18" t="str">
        <f t="shared" si="42"/>
        <v/>
      </c>
      <c r="G516" s="21" t="str">
        <f t="shared" si="43"/>
        <v/>
      </c>
      <c r="H516" s="9"/>
    </row>
    <row r="517" spans="1:8" ht="19.5" customHeight="1">
      <c r="A517" s="10"/>
      <c r="B517" s="27"/>
      <c r="C517" s="34"/>
      <c r="D517" s="11" t="str">
        <f t="shared" si="40"/>
        <v/>
      </c>
      <c r="E517" s="12" t="str">
        <f t="shared" si="41"/>
        <v/>
      </c>
      <c r="F517" s="19" t="str">
        <f t="shared" si="42"/>
        <v/>
      </c>
      <c r="G517" s="22" t="str">
        <f t="shared" si="43"/>
        <v/>
      </c>
      <c r="H517" s="13"/>
    </row>
    <row r="518" spans="1:8" ht="19.5" customHeight="1">
      <c r="A518" s="6"/>
      <c r="B518" s="26"/>
      <c r="C518" s="33"/>
      <c r="D518" s="7" t="str">
        <f t="shared" si="40"/>
        <v/>
      </c>
      <c r="E518" s="8" t="str">
        <f t="shared" si="41"/>
        <v/>
      </c>
      <c r="F518" s="18" t="str">
        <f t="shared" si="42"/>
        <v/>
      </c>
      <c r="G518" s="21" t="str">
        <f t="shared" si="43"/>
        <v/>
      </c>
      <c r="H518" s="9"/>
    </row>
    <row r="519" spans="1:8" ht="19.5" customHeight="1">
      <c r="A519" s="10"/>
      <c r="B519" s="27"/>
      <c r="C519" s="34"/>
      <c r="D519" s="11" t="str">
        <f t="shared" si="40"/>
        <v/>
      </c>
      <c r="E519" s="12" t="str">
        <f t="shared" si="41"/>
        <v/>
      </c>
      <c r="F519" s="19" t="str">
        <f t="shared" si="42"/>
        <v/>
      </c>
      <c r="G519" s="22" t="str">
        <f t="shared" si="43"/>
        <v/>
      </c>
      <c r="H519" s="13"/>
    </row>
    <row r="520" spans="1:8" ht="19.5" customHeight="1">
      <c r="A520" s="6"/>
      <c r="B520" s="26"/>
      <c r="C520" s="33"/>
      <c r="D520" s="7" t="str">
        <f t="shared" si="40"/>
        <v/>
      </c>
      <c r="E520" s="8" t="str">
        <f t="shared" si="41"/>
        <v/>
      </c>
      <c r="F520" s="18" t="str">
        <f t="shared" si="42"/>
        <v/>
      </c>
      <c r="G520" s="21" t="str">
        <f t="shared" si="43"/>
        <v/>
      </c>
      <c r="H520" s="9"/>
    </row>
    <row r="521" spans="1:8" ht="19.5" customHeight="1">
      <c r="A521" s="10"/>
      <c r="B521" s="27"/>
      <c r="C521" s="34"/>
      <c r="D521" s="11" t="str">
        <f t="shared" si="40"/>
        <v/>
      </c>
      <c r="E521" s="12" t="str">
        <f t="shared" si="41"/>
        <v/>
      </c>
      <c r="F521" s="19" t="str">
        <f t="shared" si="42"/>
        <v/>
      </c>
      <c r="G521" s="22" t="str">
        <f t="shared" si="43"/>
        <v/>
      </c>
      <c r="H521" s="13"/>
    </row>
    <row r="522" spans="1:8" ht="19.5" customHeight="1">
      <c r="A522" s="6"/>
      <c r="B522" s="26"/>
      <c r="C522" s="33"/>
      <c r="D522" s="7" t="str">
        <f t="shared" si="40"/>
        <v/>
      </c>
      <c r="E522" s="8" t="str">
        <f t="shared" si="41"/>
        <v/>
      </c>
      <c r="F522" s="18" t="str">
        <f t="shared" si="42"/>
        <v/>
      </c>
      <c r="G522" s="21" t="str">
        <f t="shared" si="43"/>
        <v/>
      </c>
      <c r="H522" s="9"/>
    </row>
    <row r="523" spans="1:8" ht="19.5" customHeight="1">
      <c r="A523" s="10"/>
      <c r="B523" s="27"/>
      <c r="C523" s="34"/>
      <c r="D523" s="11" t="str">
        <f t="shared" si="40"/>
        <v/>
      </c>
      <c r="E523" s="12" t="str">
        <f t="shared" si="41"/>
        <v/>
      </c>
      <c r="F523" s="19" t="str">
        <f t="shared" si="42"/>
        <v/>
      </c>
      <c r="G523" s="22" t="str">
        <f t="shared" si="43"/>
        <v/>
      </c>
      <c r="H523" s="13"/>
    </row>
    <row r="524" spans="1:8" ht="19.5" customHeight="1">
      <c r="A524" s="6"/>
      <c r="B524" s="26"/>
      <c r="C524" s="33"/>
      <c r="D524" s="7" t="str">
        <f t="shared" si="40"/>
        <v/>
      </c>
      <c r="E524" s="8" t="str">
        <f t="shared" si="41"/>
        <v/>
      </c>
      <c r="F524" s="18" t="str">
        <f t="shared" si="42"/>
        <v/>
      </c>
      <c r="G524" s="21" t="str">
        <f t="shared" si="43"/>
        <v/>
      </c>
      <c r="H524" s="9"/>
    </row>
    <row r="525" spans="1:8" ht="19.5" customHeight="1">
      <c r="A525" s="10"/>
      <c r="B525" s="27"/>
      <c r="C525" s="34"/>
      <c r="D525" s="11" t="str">
        <f t="shared" si="40"/>
        <v/>
      </c>
      <c r="E525" s="12" t="str">
        <f t="shared" si="41"/>
        <v/>
      </c>
      <c r="F525" s="19" t="str">
        <f t="shared" si="42"/>
        <v/>
      </c>
      <c r="G525" s="22" t="str">
        <f t="shared" si="43"/>
        <v/>
      </c>
      <c r="H525" s="13"/>
    </row>
    <row r="526" spans="1:8" ht="19.5" customHeight="1">
      <c r="A526" s="6"/>
      <c r="B526" s="26"/>
      <c r="C526" s="33"/>
      <c r="D526" s="7" t="str">
        <f t="shared" si="40"/>
        <v/>
      </c>
      <c r="E526" s="8" t="str">
        <f t="shared" si="41"/>
        <v/>
      </c>
      <c r="F526" s="18" t="str">
        <f t="shared" si="42"/>
        <v/>
      </c>
      <c r="G526" s="21" t="str">
        <f t="shared" si="43"/>
        <v/>
      </c>
      <c r="H526" s="9"/>
    </row>
    <row r="527" spans="1:8" ht="19.5" customHeight="1">
      <c r="A527" s="10"/>
      <c r="B527" s="27"/>
      <c r="C527" s="34"/>
      <c r="D527" s="11" t="str">
        <f t="shared" si="40"/>
        <v/>
      </c>
      <c r="E527" s="12" t="str">
        <f t="shared" si="41"/>
        <v/>
      </c>
      <c r="F527" s="19" t="str">
        <f t="shared" si="42"/>
        <v/>
      </c>
      <c r="G527" s="22" t="str">
        <f t="shared" si="43"/>
        <v/>
      </c>
      <c r="H527" s="13"/>
    </row>
    <row r="528" spans="1:8" ht="19.5" customHeight="1">
      <c r="A528" s="6"/>
      <c r="B528" s="26"/>
      <c r="C528" s="33"/>
      <c r="D528" s="7" t="str">
        <f t="shared" si="40"/>
        <v/>
      </c>
      <c r="E528" s="8" t="str">
        <f t="shared" si="41"/>
        <v/>
      </c>
      <c r="F528" s="18" t="str">
        <f t="shared" si="42"/>
        <v/>
      </c>
      <c r="G528" s="21" t="str">
        <f t="shared" si="43"/>
        <v/>
      </c>
      <c r="H528" s="9"/>
    </row>
    <row r="529" spans="1:8" ht="19.5" customHeight="1">
      <c r="A529" s="10"/>
      <c r="B529" s="27"/>
      <c r="C529" s="34"/>
      <c r="D529" s="11" t="str">
        <f t="shared" si="40"/>
        <v/>
      </c>
      <c r="E529" s="12" t="str">
        <f t="shared" si="41"/>
        <v/>
      </c>
      <c r="F529" s="19" t="str">
        <f t="shared" si="42"/>
        <v/>
      </c>
      <c r="G529" s="22" t="str">
        <f t="shared" si="43"/>
        <v/>
      </c>
      <c r="H529" s="13"/>
    </row>
    <row r="530" spans="1:8" ht="19.5" customHeight="1">
      <c r="A530" s="6"/>
      <c r="B530" s="26"/>
      <c r="C530" s="33"/>
      <c r="D530" s="7" t="str">
        <f t="shared" si="40"/>
        <v/>
      </c>
      <c r="E530" s="8" t="str">
        <f t="shared" si="41"/>
        <v/>
      </c>
      <c r="F530" s="18" t="str">
        <f t="shared" si="42"/>
        <v/>
      </c>
      <c r="G530" s="21" t="str">
        <f t="shared" si="43"/>
        <v/>
      </c>
      <c r="H530" s="9"/>
    </row>
    <row r="531" spans="1:8" ht="19.5" customHeight="1">
      <c r="A531" s="10"/>
      <c r="B531" s="27"/>
      <c r="C531" s="34"/>
      <c r="D531" s="11" t="str">
        <f t="shared" si="40"/>
        <v/>
      </c>
      <c r="E531" s="12" t="str">
        <f t="shared" si="41"/>
        <v/>
      </c>
      <c r="F531" s="19" t="str">
        <f t="shared" si="42"/>
        <v/>
      </c>
      <c r="G531" s="22" t="str">
        <f t="shared" si="43"/>
        <v/>
      </c>
      <c r="H531" s="13"/>
    </row>
    <row r="532" spans="1:8" ht="19.5" customHeight="1">
      <c r="A532" s="6"/>
      <c r="B532" s="26"/>
      <c r="C532" s="33"/>
      <c r="D532" s="7" t="str">
        <f t="shared" ref="D532:D595" si="44">IF(C532="","",C532*$B$1)</f>
        <v/>
      </c>
      <c r="E532" s="8" t="str">
        <f t="shared" ref="E532:E595" si="45">IF(C532="","",C532-D532)</f>
        <v/>
      </c>
      <c r="F532" s="18" t="str">
        <f t="shared" ref="F532:F595" si="46">IF(OR(B532="",C532=""),"",E532-B532)</f>
        <v/>
      </c>
      <c r="G532" s="21" t="str">
        <f t="shared" ref="G532:G595" si="47">IF(OR(B532="",B532=0),"",F532/B532)</f>
        <v/>
      </c>
      <c r="H532" s="9"/>
    </row>
    <row r="533" spans="1:8" ht="19.5" customHeight="1">
      <c r="A533" s="10"/>
      <c r="B533" s="27"/>
      <c r="C533" s="34"/>
      <c r="D533" s="11" t="str">
        <f t="shared" si="44"/>
        <v/>
      </c>
      <c r="E533" s="12" t="str">
        <f t="shared" si="45"/>
        <v/>
      </c>
      <c r="F533" s="19" t="str">
        <f t="shared" si="46"/>
        <v/>
      </c>
      <c r="G533" s="22" t="str">
        <f t="shared" si="47"/>
        <v/>
      </c>
      <c r="H533" s="13"/>
    </row>
    <row r="534" spans="1:8" ht="19.5" customHeight="1">
      <c r="A534" s="6"/>
      <c r="B534" s="26"/>
      <c r="C534" s="33"/>
      <c r="D534" s="7" t="str">
        <f t="shared" si="44"/>
        <v/>
      </c>
      <c r="E534" s="8" t="str">
        <f t="shared" si="45"/>
        <v/>
      </c>
      <c r="F534" s="18" t="str">
        <f t="shared" si="46"/>
        <v/>
      </c>
      <c r="G534" s="21" t="str">
        <f t="shared" si="47"/>
        <v/>
      </c>
      <c r="H534" s="9"/>
    </row>
    <row r="535" spans="1:8" ht="19.5" customHeight="1">
      <c r="A535" s="10"/>
      <c r="B535" s="27"/>
      <c r="C535" s="34"/>
      <c r="D535" s="11" t="str">
        <f t="shared" si="44"/>
        <v/>
      </c>
      <c r="E535" s="12" t="str">
        <f t="shared" si="45"/>
        <v/>
      </c>
      <c r="F535" s="19" t="str">
        <f t="shared" si="46"/>
        <v/>
      </c>
      <c r="G535" s="22" t="str">
        <f t="shared" si="47"/>
        <v/>
      </c>
      <c r="H535" s="13"/>
    </row>
    <row r="536" spans="1:8" ht="19.5" customHeight="1">
      <c r="A536" s="6"/>
      <c r="B536" s="26"/>
      <c r="C536" s="33"/>
      <c r="D536" s="7" t="str">
        <f t="shared" si="44"/>
        <v/>
      </c>
      <c r="E536" s="8" t="str">
        <f t="shared" si="45"/>
        <v/>
      </c>
      <c r="F536" s="18" t="str">
        <f t="shared" si="46"/>
        <v/>
      </c>
      <c r="G536" s="21" t="str">
        <f t="shared" si="47"/>
        <v/>
      </c>
      <c r="H536" s="9"/>
    </row>
    <row r="537" spans="1:8" ht="19.5" customHeight="1">
      <c r="A537" s="10"/>
      <c r="B537" s="27"/>
      <c r="C537" s="34"/>
      <c r="D537" s="11" t="str">
        <f t="shared" si="44"/>
        <v/>
      </c>
      <c r="E537" s="12" t="str">
        <f t="shared" si="45"/>
        <v/>
      </c>
      <c r="F537" s="19" t="str">
        <f t="shared" si="46"/>
        <v/>
      </c>
      <c r="G537" s="22" t="str">
        <f t="shared" si="47"/>
        <v/>
      </c>
      <c r="H537" s="13"/>
    </row>
    <row r="538" spans="1:8" ht="19.5" customHeight="1">
      <c r="A538" s="6"/>
      <c r="B538" s="26"/>
      <c r="C538" s="33"/>
      <c r="D538" s="7" t="str">
        <f t="shared" si="44"/>
        <v/>
      </c>
      <c r="E538" s="8" t="str">
        <f t="shared" si="45"/>
        <v/>
      </c>
      <c r="F538" s="18" t="str">
        <f t="shared" si="46"/>
        <v/>
      </c>
      <c r="G538" s="21" t="str">
        <f t="shared" si="47"/>
        <v/>
      </c>
      <c r="H538" s="9"/>
    </row>
    <row r="539" spans="1:8" ht="19.5" customHeight="1">
      <c r="A539" s="10"/>
      <c r="B539" s="27"/>
      <c r="C539" s="34"/>
      <c r="D539" s="11" t="str">
        <f t="shared" si="44"/>
        <v/>
      </c>
      <c r="E539" s="12" t="str">
        <f t="shared" si="45"/>
        <v/>
      </c>
      <c r="F539" s="19" t="str">
        <f t="shared" si="46"/>
        <v/>
      </c>
      <c r="G539" s="22" t="str">
        <f t="shared" si="47"/>
        <v/>
      </c>
      <c r="H539" s="13"/>
    </row>
    <row r="540" spans="1:8" ht="19.5" customHeight="1">
      <c r="A540" s="6"/>
      <c r="B540" s="26"/>
      <c r="C540" s="33"/>
      <c r="D540" s="7" t="str">
        <f t="shared" si="44"/>
        <v/>
      </c>
      <c r="E540" s="8" t="str">
        <f t="shared" si="45"/>
        <v/>
      </c>
      <c r="F540" s="18" t="str">
        <f t="shared" si="46"/>
        <v/>
      </c>
      <c r="G540" s="21" t="str">
        <f t="shared" si="47"/>
        <v/>
      </c>
      <c r="H540" s="9"/>
    </row>
    <row r="541" spans="1:8" ht="19.5" customHeight="1">
      <c r="A541" s="10"/>
      <c r="B541" s="27"/>
      <c r="C541" s="34"/>
      <c r="D541" s="11" t="str">
        <f t="shared" si="44"/>
        <v/>
      </c>
      <c r="E541" s="12" t="str">
        <f t="shared" si="45"/>
        <v/>
      </c>
      <c r="F541" s="19" t="str">
        <f t="shared" si="46"/>
        <v/>
      </c>
      <c r="G541" s="22" t="str">
        <f t="shared" si="47"/>
        <v/>
      </c>
      <c r="H541" s="13"/>
    </row>
    <row r="542" spans="1:8" ht="19.5" customHeight="1">
      <c r="A542" s="6"/>
      <c r="B542" s="26"/>
      <c r="C542" s="33"/>
      <c r="D542" s="7" t="str">
        <f t="shared" si="44"/>
        <v/>
      </c>
      <c r="E542" s="8" t="str">
        <f t="shared" si="45"/>
        <v/>
      </c>
      <c r="F542" s="18" t="str">
        <f t="shared" si="46"/>
        <v/>
      </c>
      <c r="G542" s="21" t="str">
        <f t="shared" si="47"/>
        <v/>
      </c>
      <c r="H542" s="9"/>
    </row>
    <row r="543" spans="1:8" ht="19.5" customHeight="1">
      <c r="A543" s="10"/>
      <c r="B543" s="27"/>
      <c r="C543" s="34"/>
      <c r="D543" s="11" t="str">
        <f t="shared" si="44"/>
        <v/>
      </c>
      <c r="E543" s="12" t="str">
        <f t="shared" si="45"/>
        <v/>
      </c>
      <c r="F543" s="19" t="str">
        <f t="shared" si="46"/>
        <v/>
      </c>
      <c r="G543" s="22" t="str">
        <f t="shared" si="47"/>
        <v/>
      </c>
      <c r="H543" s="13"/>
    </row>
    <row r="544" spans="1:8" ht="19.5" customHeight="1">
      <c r="A544" s="6"/>
      <c r="B544" s="26"/>
      <c r="C544" s="33"/>
      <c r="D544" s="7" t="str">
        <f t="shared" si="44"/>
        <v/>
      </c>
      <c r="E544" s="8" t="str">
        <f t="shared" si="45"/>
        <v/>
      </c>
      <c r="F544" s="18" t="str">
        <f t="shared" si="46"/>
        <v/>
      </c>
      <c r="G544" s="21" t="str">
        <f t="shared" si="47"/>
        <v/>
      </c>
      <c r="H544" s="9"/>
    </row>
    <row r="545" spans="1:8" ht="19.5" customHeight="1">
      <c r="A545" s="10"/>
      <c r="B545" s="27"/>
      <c r="C545" s="34"/>
      <c r="D545" s="11" t="str">
        <f t="shared" si="44"/>
        <v/>
      </c>
      <c r="E545" s="12" t="str">
        <f t="shared" si="45"/>
        <v/>
      </c>
      <c r="F545" s="19" t="str">
        <f t="shared" si="46"/>
        <v/>
      </c>
      <c r="G545" s="22" t="str">
        <f t="shared" si="47"/>
        <v/>
      </c>
      <c r="H545" s="13"/>
    </row>
    <row r="546" spans="1:8" ht="19.5" customHeight="1">
      <c r="A546" s="6"/>
      <c r="B546" s="26"/>
      <c r="C546" s="33"/>
      <c r="D546" s="7" t="str">
        <f t="shared" si="44"/>
        <v/>
      </c>
      <c r="E546" s="8" t="str">
        <f t="shared" si="45"/>
        <v/>
      </c>
      <c r="F546" s="18" t="str">
        <f t="shared" si="46"/>
        <v/>
      </c>
      <c r="G546" s="21" t="str">
        <f t="shared" si="47"/>
        <v/>
      </c>
      <c r="H546" s="9"/>
    </row>
    <row r="547" spans="1:8" ht="19.5" customHeight="1">
      <c r="A547" s="10"/>
      <c r="B547" s="27"/>
      <c r="C547" s="34"/>
      <c r="D547" s="11" t="str">
        <f t="shared" si="44"/>
        <v/>
      </c>
      <c r="E547" s="12" t="str">
        <f t="shared" si="45"/>
        <v/>
      </c>
      <c r="F547" s="19" t="str">
        <f t="shared" si="46"/>
        <v/>
      </c>
      <c r="G547" s="22" t="str">
        <f t="shared" si="47"/>
        <v/>
      </c>
      <c r="H547" s="13"/>
    </row>
    <row r="548" spans="1:8" ht="19.5" customHeight="1">
      <c r="A548" s="6"/>
      <c r="B548" s="26"/>
      <c r="C548" s="33"/>
      <c r="D548" s="7" t="str">
        <f t="shared" si="44"/>
        <v/>
      </c>
      <c r="E548" s="8" t="str">
        <f t="shared" si="45"/>
        <v/>
      </c>
      <c r="F548" s="18" t="str">
        <f t="shared" si="46"/>
        <v/>
      </c>
      <c r="G548" s="21" t="str">
        <f t="shared" si="47"/>
        <v/>
      </c>
      <c r="H548" s="9"/>
    </row>
    <row r="549" spans="1:8" ht="19.5" customHeight="1">
      <c r="A549" s="10"/>
      <c r="B549" s="27"/>
      <c r="C549" s="34"/>
      <c r="D549" s="11" t="str">
        <f t="shared" si="44"/>
        <v/>
      </c>
      <c r="E549" s="12" t="str">
        <f t="shared" si="45"/>
        <v/>
      </c>
      <c r="F549" s="19" t="str">
        <f t="shared" si="46"/>
        <v/>
      </c>
      <c r="G549" s="22" t="str">
        <f t="shared" si="47"/>
        <v/>
      </c>
      <c r="H549" s="13"/>
    </row>
    <row r="550" spans="1:8" ht="19.5" customHeight="1">
      <c r="A550" s="6"/>
      <c r="B550" s="26"/>
      <c r="C550" s="33"/>
      <c r="D550" s="7" t="str">
        <f t="shared" si="44"/>
        <v/>
      </c>
      <c r="E550" s="8" t="str">
        <f t="shared" si="45"/>
        <v/>
      </c>
      <c r="F550" s="18" t="str">
        <f t="shared" si="46"/>
        <v/>
      </c>
      <c r="G550" s="21" t="str">
        <f t="shared" si="47"/>
        <v/>
      </c>
      <c r="H550" s="9"/>
    </row>
    <row r="551" spans="1:8" ht="19.5" customHeight="1">
      <c r="A551" s="10"/>
      <c r="B551" s="27"/>
      <c r="C551" s="34"/>
      <c r="D551" s="11" t="str">
        <f t="shared" si="44"/>
        <v/>
      </c>
      <c r="E551" s="12" t="str">
        <f t="shared" si="45"/>
        <v/>
      </c>
      <c r="F551" s="19" t="str">
        <f t="shared" si="46"/>
        <v/>
      </c>
      <c r="G551" s="22" t="str">
        <f t="shared" si="47"/>
        <v/>
      </c>
      <c r="H551" s="13"/>
    </row>
    <row r="552" spans="1:8" ht="19.5" customHeight="1">
      <c r="A552" s="6"/>
      <c r="B552" s="26"/>
      <c r="C552" s="33"/>
      <c r="D552" s="7" t="str">
        <f t="shared" si="44"/>
        <v/>
      </c>
      <c r="E552" s="8" t="str">
        <f t="shared" si="45"/>
        <v/>
      </c>
      <c r="F552" s="18" t="str">
        <f t="shared" si="46"/>
        <v/>
      </c>
      <c r="G552" s="21" t="str">
        <f t="shared" si="47"/>
        <v/>
      </c>
      <c r="H552" s="9"/>
    </row>
    <row r="553" spans="1:8" ht="19.5" customHeight="1">
      <c r="A553" s="10"/>
      <c r="B553" s="27"/>
      <c r="C553" s="34"/>
      <c r="D553" s="11" t="str">
        <f t="shared" si="44"/>
        <v/>
      </c>
      <c r="E553" s="12" t="str">
        <f t="shared" si="45"/>
        <v/>
      </c>
      <c r="F553" s="19" t="str">
        <f t="shared" si="46"/>
        <v/>
      </c>
      <c r="G553" s="22" t="str">
        <f t="shared" si="47"/>
        <v/>
      </c>
      <c r="H553" s="13"/>
    </row>
    <row r="554" spans="1:8" ht="19.5" customHeight="1">
      <c r="A554" s="6"/>
      <c r="B554" s="26"/>
      <c r="C554" s="33"/>
      <c r="D554" s="7" t="str">
        <f t="shared" si="44"/>
        <v/>
      </c>
      <c r="E554" s="8" t="str">
        <f t="shared" si="45"/>
        <v/>
      </c>
      <c r="F554" s="18" t="str">
        <f t="shared" si="46"/>
        <v/>
      </c>
      <c r="G554" s="21" t="str">
        <f t="shared" si="47"/>
        <v/>
      </c>
      <c r="H554" s="9"/>
    </row>
    <row r="555" spans="1:8" ht="19.5" customHeight="1">
      <c r="A555" s="10"/>
      <c r="B555" s="27"/>
      <c r="C555" s="34"/>
      <c r="D555" s="11" t="str">
        <f t="shared" si="44"/>
        <v/>
      </c>
      <c r="E555" s="12" t="str">
        <f t="shared" si="45"/>
        <v/>
      </c>
      <c r="F555" s="19" t="str">
        <f t="shared" si="46"/>
        <v/>
      </c>
      <c r="G555" s="22" t="str">
        <f t="shared" si="47"/>
        <v/>
      </c>
      <c r="H555" s="13"/>
    </row>
    <row r="556" spans="1:8" ht="19.5" customHeight="1">
      <c r="A556" s="6"/>
      <c r="B556" s="26"/>
      <c r="C556" s="33"/>
      <c r="D556" s="7" t="str">
        <f t="shared" si="44"/>
        <v/>
      </c>
      <c r="E556" s="8" t="str">
        <f t="shared" si="45"/>
        <v/>
      </c>
      <c r="F556" s="18" t="str">
        <f t="shared" si="46"/>
        <v/>
      </c>
      <c r="G556" s="21" t="str">
        <f t="shared" si="47"/>
        <v/>
      </c>
      <c r="H556" s="9"/>
    </row>
    <row r="557" spans="1:8" ht="19.5" customHeight="1">
      <c r="A557" s="10"/>
      <c r="B557" s="27"/>
      <c r="C557" s="34"/>
      <c r="D557" s="11" t="str">
        <f t="shared" si="44"/>
        <v/>
      </c>
      <c r="E557" s="12" t="str">
        <f t="shared" si="45"/>
        <v/>
      </c>
      <c r="F557" s="19" t="str">
        <f t="shared" si="46"/>
        <v/>
      </c>
      <c r="G557" s="22" t="str">
        <f t="shared" si="47"/>
        <v/>
      </c>
      <c r="H557" s="13"/>
    </row>
    <row r="558" spans="1:8" ht="19.5" customHeight="1">
      <c r="A558" s="6"/>
      <c r="B558" s="26"/>
      <c r="C558" s="33"/>
      <c r="D558" s="7" t="str">
        <f t="shared" si="44"/>
        <v/>
      </c>
      <c r="E558" s="8" t="str">
        <f t="shared" si="45"/>
        <v/>
      </c>
      <c r="F558" s="18" t="str">
        <f t="shared" si="46"/>
        <v/>
      </c>
      <c r="G558" s="21" t="str">
        <f t="shared" si="47"/>
        <v/>
      </c>
      <c r="H558" s="9"/>
    </row>
    <row r="559" spans="1:8" ht="19.5" customHeight="1">
      <c r="A559" s="10"/>
      <c r="B559" s="27"/>
      <c r="C559" s="34"/>
      <c r="D559" s="11" t="str">
        <f t="shared" si="44"/>
        <v/>
      </c>
      <c r="E559" s="12" t="str">
        <f t="shared" si="45"/>
        <v/>
      </c>
      <c r="F559" s="19" t="str">
        <f t="shared" si="46"/>
        <v/>
      </c>
      <c r="G559" s="22" t="str">
        <f t="shared" si="47"/>
        <v/>
      </c>
      <c r="H559" s="13"/>
    </row>
    <row r="560" spans="1:8" ht="19.5" customHeight="1">
      <c r="A560" s="6"/>
      <c r="B560" s="26"/>
      <c r="C560" s="33"/>
      <c r="D560" s="7" t="str">
        <f t="shared" si="44"/>
        <v/>
      </c>
      <c r="E560" s="8" t="str">
        <f t="shared" si="45"/>
        <v/>
      </c>
      <c r="F560" s="18" t="str">
        <f t="shared" si="46"/>
        <v/>
      </c>
      <c r="G560" s="21" t="str">
        <f t="shared" si="47"/>
        <v/>
      </c>
      <c r="H560" s="9"/>
    </row>
    <row r="561" spans="1:8" ht="19.5" customHeight="1">
      <c r="A561" s="10"/>
      <c r="B561" s="27"/>
      <c r="C561" s="34"/>
      <c r="D561" s="11" t="str">
        <f t="shared" si="44"/>
        <v/>
      </c>
      <c r="E561" s="12" t="str">
        <f t="shared" si="45"/>
        <v/>
      </c>
      <c r="F561" s="19" t="str">
        <f t="shared" si="46"/>
        <v/>
      </c>
      <c r="G561" s="22" t="str">
        <f t="shared" si="47"/>
        <v/>
      </c>
      <c r="H561" s="13"/>
    </row>
    <row r="562" spans="1:8" ht="19.5" customHeight="1">
      <c r="A562" s="6"/>
      <c r="B562" s="26"/>
      <c r="C562" s="33"/>
      <c r="D562" s="7" t="str">
        <f t="shared" si="44"/>
        <v/>
      </c>
      <c r="E562" s="8" t="str">
        <f t="shared" si="45"/>
        <v/>
      </c>
      <c r="F562" s="18" t="str">
        <f t="shared" si="46"/>
        <v/>
      </c>
      <c r="G562" s="21" t="str">
        <f t="shared" si="47"/>
        <v/>
      </c>
      <c r="H562" s="9"/>
    </row>
    <row r="563" spans="1:8" ht="19.5" customHeight="1">
      <c r="A563" s="10"/>
      <c r="B563" s="27"/>
      <c r="C563" s="34"/>
      <c r="D563" s="11" t="str">
        <f t="shared" si="44"/>
        <v/>
      </c>
      <c r="E563" s="12" t="str">
        <f t="shared" si="45"/>
        <v/>
      </c>
      <c r="F563" s="19" t="str">
        <f t="shared" si="46"/>
        <v/>
      </c>
      <c r="G563" s="22" t="str">
        <f t="shared" si="47"/>
        <v/>
      </c>
      <c r="H563" s="13"/>
    </row>
    <row r="564" spans="1:8" ht="19.5" customHeight="1">
      <c r="A564" s="6"/>
      <c r="B564" s="26"/>
      <c r="C564" s="33"/>
      <c r="D564" s="7" t="str">
        <f t="shared" si="44"/>
        <v/>
      </c>
      <c r="E564" s="8" t="str">
        <f t="shared" si="45"/>
        <v/>
      </c>
      <c r="F564" s="18" t="str">
        <f t="shared" si="46"/>
        <v/>
      </c>
      <c r="G564" s="21" t="str">
        <f t="shared" si="47"/>
        <v/>
      </c>
      <c r="H564" s="9"/>
    </row>
    <row r="565" spans="1:8" ht="19.5" customHeight="1">
      <c r="A565" s="10"/>
      <c r="B565" s="27"/>
      <c r="C565" s="34"/>
      <c r="D565" s="11" t="str">
        <f t="shared" si="44"/>
        <v/>
      </c>
      <c r="E565" s="12" t="str">
        <f t="shared" si="45"/>
        <v/>
      </c>
      <c r="F565" s="19" t="str">
        <f t="shared" si="46"/>
        <v/>
      </c>
      <c r="G565" s="22" t="str">
        <f t="shared" si="47"/>
        <v/>
      </c>
      <c r="H565" s="13"/>
    </row>
    <row r="566" spans="1:8" ht="19.5" customHeight="1">
      <c r="A566" s="6"/>
      <c r="B566" s="26"/>
      <c r="C566" s="33"/>
      <c r="D566" s="7" t="str">
        <f t="shared" si="44"/>
        <v/>
      </c>
      <c r="E566" s="8" t="str">
        <f t="shared" si="45"/>
        <v/>
      </c>
      <c r="F566" s="18" t="str">
        <f t="shared" si="46"/>
        <v/>
      </c>
      <c r="G566" s="21" t="str">
        <f t="shared" si="47"/>
        <v/>
      </c>
      <c r="H566" s="9"/>
    </row>
    <row r="567" spans="1:8" ht="19.5" customHeight="1">
      <c r="A567" s="10"/>
      <c r="B567" s="27"/>
      <c r="C567" s="34"/>
      <c r="D567" s="11" t="str">
        <f t="shared" si="44"/>
        <v/>
      </c>
      <c r="E567" s="12" t="str">
        <f t="shared" si="45"/>
        <v/>
      </c>
      <c r="F567" s="19" t="str">
        <f t="shared" si="46"/>
        <v/>
      </c>
      <c r="G567" s="22" t="str">
        <f t="shared" si="47"/>
        <v/>
      </c>
      <c r="H567" s="13"/>
    </row>
    <row r="568" spans="1:8" ht="19.5" customHeight="1">
      <c r="A568" s="6"/>
      <c r="B568" s="26"/>
      <c r="C568" s="33"/>
      <c r="D568" s="7" t="str">
        <f t="shared" si="44"/>
        <v/>
      </c>
      <c r="E568" s="8" t="str">
        <f t="shared" si="45"/>
        <v/>
      </c>
      <c r="F568" s="18" t="str">
        <f t="shared" si="46"/>
        <v/>
      </c>
      <c r="G568" s="21" t="str">
        <f t="shared" si="47"/>
        <v/>
      </c>
      <c r="H568" s="9"/>
    </row>
    <row r="569" spans="1:8" ht="19.5" customHeight="1">
      <c r="A569" s="10"/>
      <c r="B569" s="27"/>
      <c r="C569" s="34"/>
      <c r="D569" s="11" t="str">
        <f t="shared" si="44"/>
        <v/>
      </c>
      <c r="E569" s="12" t="str">
        <f t="shared" si="45"/>
        <v/>
      </c>
      <c r="F569" s="19" t="str">
        <f t="shared" si="46"/>
        <v/>
      </c>
      <c r="G569" s="22" t="str">
        <f t="shared" si="47"/>
        <v/>
      </c>
      <c r="H569" s="13"/>
    </row>
    <row r="570" spans="1:8" ht="19.5" customHeight="1">
      <c r="A570" s="6"/>
      <c r="B570" s="26"/>
      <c r="C570" s="33"/>
      <c r="D570" s="7" t="str">
        <f t="shared" si="44"/>
        <v/>
      </c>
      <c r="E570" s="8" t="str">
        <f t="shared" si="45"/>
        <v/>
      </c>
      <c r="F570" s="18" t="str">
        <f t="shared" si="46"/>
        <v/>
      </c>
      <c r="G570" s="21" t="str">
        <f t="shared" si="47"/>
        <v/>
      </c>
      <c r="H570" s="9"/>
    </row>
    <row r="571" spans="1:8" ht="19.5" customHeight="1">
      <c r="A571" s="10"/>
      <c r="B571" s="27"/>
      <c r="C571" s="34"/>
      <c r="D571" s="11" t="str">
        <f t="shared" si="44"/>
        <v/>
      </c>
      <c r="E571" s="12" t="str">
        <f t="shared" si="45"/>
        <v/>
      </c>
      <c r="F571" s="19" t="str">
        <f t="shared" si="46"/>
        <v/>
      </c>
      <c r="G571" s="22" t="str">
        <f t="shared" si="47"/>
        <v/>
      </c>
      <c r="H571" s="13"/>
    </row>
    <row r="572" spans="1:8" ht="19.5" customHeight="1">
      <c r="A572" s="6"/>
      <c r="B572" s="26"/>
      <c r="C572" s="33"/>
      <c r="D572" s="7" t="str">
        <f t="shared" si="44"/>
        <v/>
      </c>
      <c r="E572" s="8" t="str">
        <f t="shared" si="45"/>
        <v/>
      </c>
      <c r="F572" s="18" t="str">
        <f t="shared" si="46"/>
        <v/>
      </c>
      <c r="G572" s="21" t="str">
        <f t="shared" si="47"/>
        <v/>
      </c>
      <c r="H572" s="9"/>
    </row>
    <row r="573" spans="1:8" ht="19.5" customHeight="1">
      <c r="A573" s="10"/>
      <c r="B573" s="27"/>
      <c r="C573" s="34"/>
      <c r="D573" s="11" t="str">
        <f t="shared" si="44"/>
        <v/>
      </c>
      <c r="E573" s="12" t="str">
        <f t="shared" si="45"/>
        <v/>
      </c>
      <c r="F573" s="19" t="str">
        <f t="shared" si="46"/>
        <v/>
      </c>
      <c r="G573" s="22" t="str">
        <f t="shared" si="47"/>
        <v/>
      </c>
      <c r="H573" s="13"/>
    </row>
    <row r="574" spans="1:8" ht="19.5" customHeight="1">
      <c r="A574" s="6"/>
      <c r="B574" s="26"/>
      <c r="C574" s="33"/>
      <c r="D574" s="7" t="str">
        <f t="shared" si="44"/>
        <v/>
      </c>
      <c r="E574" s="8" t="str">
        <f t="shared" si="45"/>
        <v/>
      </c>
      <c r="F574" s="18" t="str">
        <f t="shared" si="46"/>
        <v/>
      </c>
      <c r="G574" s="21" t="str">
        <f t="shared" si="47"/>
        <v/>
      </c>
      <c r="H574" s="9"/>
    </row>
    <row r="575" spans="1:8" ht="19.5" customHeight="1">
      <c r="A575" s="10"/>
      <c r="B575" s="27"/>
      <c r="C575" s="34"/>
      <c r="D575" s="11" t="str">
        <f t="shared" si="44"/>
        <v/>
      </c>
      <c r="E575" s="12" t="str">
        <f t="shared" si="45"/>
        <v/>
      </c>
      <c r="F575" s="19" t="str">
        <f t="shared" si="46"/>
        <v/>
      </c>
      <c r="G575" s="22" t="str">
        <f t="shared" si="47"/>
        <v/>
      </c>
      <c r="H575" s="13"/>
    </row>
    <row r="576" spans="1:8" ht="19.5" customHeight="1">
      <c r="A576" s="6"/>
      <c r="B576" s="26"/>
      <c r="C576" s="33"/>
      <c r="D576" s="7" t="str">
        <f t="shared" si="44"/>
        <v/>
      </c>
      <c r="E576" s="8" t="str">
        <f t="shared" si="45"/>
        <v/>
      </c>
      <c r="F576" s="18" t="str">
        <f t="shared" si="46"/>
        <v/>
      </c>
      <c r="G576" s="21" t="str">
        <f t="shared" si="47"/>
        <v/>
      </c>
      <c r="H576" s="9"/>
    </row>
    <row r="577" spans="1:8" ht="19.5" customHeight="1">
      <c r="A577" s="10"/>
      <c r="B577" s="27"/>
      <c r="C577" s="34"/>
      <c r="D577" s="11" t="str">
        <f t="shared" si="44"/>
        <v/>
      </c>
      <c r="E577" s="12" t="str">
        <f t="shared" si="45"/>
        <v/>
      </c>
      <c r="F577" s="19" t="str">
        <f t="shared" si="46"/>
        <v/>
      </c>
      <c r="G577" s="22" t="str">
        <f t="shared" si="47"/>
        <v/>
      </c>
      <c r="H577" s="13"/>
    </row>
    <row r="578" spans="1:8" ht="19.5" customHeight="1">
      <c r="A578" s="6"/>
      <c r="B578" s="26"/>
      <c r="C578" s="33"/>
      <c r="D578" s="7" t="str">
        <f t="shared" si="44"/>
        <v/>
      </c>
      <c r="E578" s="8" t="str">
        <f t="shared" si="45"/>
        <v/>
      </c>
      <c r="F578" s="18" t="str">
        <f t="shared" si="46"/>
        <v/>
      </c>
      <c r="G578" s="21" t="str">
        <f t="shared" si="47"/>
        <v/>
      </c>
      <c r="H578" s="9"/>
    </row>
    <row r="579" spans="1:8" ht="19.5" customHeight="1">
      <c r="A579" s="10"/>
      <c r="B579" s="27"/>
      <c r="C579" s="34"/>
      <c r="D579" s="11" t="str">
        <f t="shared" si="44"/>
        <v/>
      </c>
      <c r="E579" s="12" t="str">
        <f t="shared" si="45"/>
        <v/>
      </c>
      <c r="F579" s="19" t="str">
        <f t="shared" si="46"/>
        <v/>
      </c>
      <c r="G579" s="22" t="str">
        <f t="shared" si="47"/>
        <v/>
      </c>
      <c r="H579" s="13"/>
    </row>
    <row r="580" spans="1:8" ht="19.5" customHeight="1">
      <c r="A580" s="6"/>
      <c r="B580" s="26"/>
      <c r="C580" s="33"/>
      <c r="D580" s="7" t="str">
        <f t="shared" si="44"/>
        <v/>
      </c>
      <c r="E580" s="8" t="str">
        <f t="shared" si="45"/>
        <v/>
      </c>
      <c r="F580" s="18" t="str">
        <f t="shared" si="46"/>
        <v/>
      </c>
      <c r="G580" s="21" t="str">
        <f t="shared" si="47"/>
        <v/>
      </c>
      <c r="H580" s="9"/>
    </row>
    <row r="581" spans="1:8" ht="19.5" customHeight="1">
      <c r="A581" s="10"/>
      <c r="B581" s="27"/>
      <c r="C581" s="34"/>
      <c r="D581" s="11" t="str">
        <f t="shared" si="44"/>
        <v/>
      </c>
      <c r="E581" s="12" t="str">
        <f t="shared" si="45"/>
        <v/>
      </c>
      <c r="F581" s="19" t="str">
        <f t="shared" si="46"/>
        <v/>
      </c>
      <c r="G581" s="22" t="str">
        <f t="shared" si="47"/>
        <v/>
      </c>
      <c r="H581" s="13"/>
    </row>
    <row r="582" spans="1:8" ht="19.5" customHeight="1">
      <c r="A582" s="6"/>
      <c r="B582" s="26"/>
      <c r="C582" s="33"/>
      <c r="D582" s="7" t="str">
        <f t="shared" si="44"/>
        <v/>
      </c>
      <c r="E582" s="8" t="str">
        <f t="shared" si="45"/>
        <v/>
      </c>
      <c r="F582" s="18" t="str">
        <f t="shared" si="46"/>
        <v/>
      </c>
      <c r="G582" s="21" t="str">
        <f t="shared" si="47"/>
        <v/>
      </c>
      <c r="H582" s="9"/>
    </row>
    <row r="583" spans="1:8" ht="19.5" customHeight="1">
      <c r="A583" s="10"/>
      <c r="B583" s="27"/>
      <c r="C583" s="34"/>
      <c r="D583" s="11" t="str">
        <f t="shared" si="44"/>
        <v/>
      </c>
      <c r="E583" s="12" t="str">
        <f t="shared" si="45"/>
        <v/>
      </c>
      <c r="F583" s="19" t="str">
        <f t="shared" si="46"/>
        <v/>
      </c>
      <c r="G583" s="22" t="str">
        <f t="shared" si="47"/>
        <v/>
      </c>
      <c r="H583" s="13"/>
    </row>
    <row r="584" spans="1:8" ht="19.5" customHeight="1">
      <c r="A584" s="6"/>
      <c r="B584" s="26"/>
      <c r="C584" s="33"/>
      <c r="D584" s="7" t="str">
        <f t="shared" si="44"/>
        <v/>
      </c>
      <c r="E584" s="8" t="str">
        <f t="shared" si="45"/>
        <v/>
      </c>
      <c r="F584" s="18" t="str">
        <f t="shared" si="46"/>
        <v/>
      </c>
      <c r="G584" s="21" t="str">
        <f t="shared" si="47"/>
        <v/>
      </c>
      <c r="H584" s="9"/>
    </row>
    <row r="585" spans="1:8" ht="19.5" customHeight="1">
      <c r="A585" s="10"/>
      <c r="B585" s="27"/>
      <c r="C585" s="34"/>
      <c r="D585" s="11" t="str">
        <f t="shared" si="44"/>
        <v/>
      </c>
      <c r="E585" s="12" t="str">
        <f t="shared" si="45"/>
        <v/>
      </c>
      <c r="F585" s="19" t="str">
        <f t="shared" si="46"/>
        <v/>
      </c>
      <c r="G585" s="22" t="str">
        <f t="shared" si="47"/>
        <v/>
      </c>
      <c r="H585" s="13"/>
    </row>
    <row r="586" spans="1:8" ht="19.5" customHeight="1">
      <c r="A586" s="6"/>
      <c r="B586" s="26"/>
      <c r="C586" s="33"/>
      <c r="D586" s="7" t="str">
        <f t="shared" si="44"/>
        <v/>
      </c>
      <c r="E586" s="8" t="str">
        <f t="shared" si="45"/>
        <v/>
      </c>
      <c r="F586" s="18" t="str">
        <f t="shared" si="46"/>
        <v/>
      </c>
      <c r="G586" s="21" t="str">
        <f t="shared" si="47"/>
        <v/>
      </c>
      <c r="H586" s="9"/>
    </row>
    <row r="587" spans="1:8" ht="19.5" customHeight="1">
      <c r="A587" s="10"/>
      <c r="B587" s="27"/>
      <c r="C587" s="34"/>
      <c r="D587" s="11" t="str">
        <f t="shared" si="44"/>
        <v/>
      </c>
      <c r="E587" s="12" t="str">
        <f t="shared" si="45"/>
        <v/>
      </c>
      <c r="F587" s="19" t="str">
        <f t="shared" si="46"/>
        <v/>
      </c>
      <c r="G587" s="22" t="str">
        <f t="shared" si="47"/>
        <v/>
      </c>
      <c r="H587" s="13"/>
    </row>
    <row r="588" spans="1:8" ht="19.5" customHeight="1">
      <c r="A588" s="6"/>
      <c r="B588" s="26"/>
      <c r="C588" s="33"/>
      <c r="D588" s="7" t="str">
        <f t="shared" si="44"/>
        <v/>
      </c>
      <c r="E588" s="8" t="str">
        <f t="shared" si="45"/>
        <v/>
      </c>
      <c r="F588" s="18" t="str">
        <f t="shared" si="46"/>
        <v/>
      </c>
      <c r="G588" s="21" t="str">
        <f t="shared" si="47"/>
        <v/>
      </c>
      <c r="H588" s="9"/>
    </row>
    <row r="589" spans="1:8" ht="19.5" customHeight="1">
      <c r="A589" s="10"/>
      <c r="B589" s="27"/>
      <c r="C589" s="34"/>
      <c r="D589" s="11" t="str">
        <f t="shared" si="44"/>
        <v/>
      </c>
      <c r="E589" s="12" t="str">
        <f t="shared" si="45"/>
        <v/>
      </c>
      <c r="F589" s="19" t="str">
        <f t="shared" si="46"/>
        <v/>
      </c>
      <c r="G589" s="22" t="str">
        <f t="shared" si="47"/>
        <v/>
      </c>
      <c r="H589" s="13"/>
    </row>
    <row r="590" spans="1:8" ht="19.5" customHeight="1">
      <c r="A590" s="6"/>
      <c r="B590" s="26"/>
      <c r="C590" s="33"/>
      <c r="D590" s="7" t="str">
        <f t="shared" si="44"/>
        <v/>
      </c>
      <c r="E590" s="8" t="str">
        <f t="shared" si="45"/>
        <v/>
      </c>
      <c r="F590" s="18" t="str">
        <f t="shared" si="46"/>
        <v/>
      </c>
      <c r="G590" s="21" t="str">
        <f t="shared" si="47"/>
        <v/>
      </c>
      <c r="H590" s="9"/>
    </row>
    <row r="591" spans="1:8" ht="19.5" customHeight="1">
      <c r="A591" s="10"/>
      <c r="B591" s="27"/>
      <c r="C591" s="34"/>
      <c r="D591" s="11" t="str">
        <f t="shared" si="44"/>
        <v/>
      </c>
      <c r="E591" s="12" t="str">
        <f t="shared" si="45"/>
        <v/>
      </c>
      <c r="F591" s="19" t="str">
        <f t="shared" si="46"/>
        <v/>
      </c>
      <c r="G591" s="22" t="str">
        <f t="shared" si="47"/>
        <v/>
      </c>
      <c r="H591" s="13"/>
    </row>
    <row r="592" spans="1:8" ht="19.5" customHeight="1">
      <c r="A592" s="6"/>
      <c r="B592" s="26"/>
      <c r="C592" s="33"/>
      <c r="D592" s="7" t="str">
        <f t="shared" si="44"/>
        <v/>
      </c>
      <c r="E592" s="8" t="str">
        <f t="shared" si="45"/>
        <v/>
      </c>
      <c r="F592" s="18" t="str">
        <f t="shared" si="46"/>
        <v/>
      </c>
      <c r="G592" s="21" t="str">
        <f t="shared" si="47"/>
        <v/>
      </c>
      <c r="H592" s="9"/>
    </row>
    <row r="593" spans="1:8" ht="19.5" customHeight="1">
      <c r="A593" s="10"/>
      <c r="B593" s="27"/>
      <c r="C593" s="34"/>
      <c r="D593" s="11" t="str">
        <f t="shared" si="44"/>
        <v/>
      </c>
      <c r="E593" s="12" t="str">
        <f t="shared" si="45"/>
        <v/>
      </c>
      <c r="F593" s="19" t="str">
        <f t="shared" si="46"/>
        <v/>
      </c>
      <c r="G593" s="22" t="str">
        <f t="shared" si="47"/>
        <v/>
      </c>
      <c r="H593" s="13"/>
    </row>
    <row r="594" spans="1:8" ht="19.5" customHeight="1">
      <c r="A594" s="6"/>
      <c r="B594" s="26"/>
      <c r="C594" s="33"/>
      <c r="D594" s="7" t="str">
        <f t="shared" si="44"/>
        <v/>
      </c>
      <c r="E594" s="8" t="str">
        <f t="shared" si="45"/>
        <v/>
      </c>
      <c r="F594" s="18" t="str">
        <f t="shared" si="46"/>
        <v/>
      </c>
      <c r="G594" s="21" t="str">
        <f t="shared" si="47"/>
        <v/>
      </c>
      <c r="H594" s="9"/>
    </row>
    <row r="595" spans="1:8" ht="19.5" customHeight="1">
      <c r="A595" s="10"/>
      <c r="B595" s="27"/>
      <c r="C595" s="34"/>
      <c r="D595" s="11" t="str">
        <f t="shared" si="44"/>
        <v/>
      </c>
      <c r="E595" s="12" t="str">
        <f t="shared" si="45"/>
        <v/>
      </c>
      <c r="F595" s="19" t="str">
        <f t="shared" si="46"/>
        <v/>
      </c>
      <c r="G595" s="22" t="str">
        <f t="shared" si="47"/>
        <v/>
      </c>
      <c r="H595" s="13"/>
    </row>
    <row r="596" spans="1:8" ht="19.5" customHeight="1">
      <c r="A596" s="6"/>
      <c r="B596" s="26"/>
      <c r="C596" s="33"/>
      <c r="D596" s="7" t="str">
        <f t="shared" ref="D596:D659" si="48">IF(C596="","",C596*$B$1)</f>
        <v/>
      </c>
      <c r="E596" s="8" t="str">
        <f t="shared" ref="E596:E659" si="49">IF(C596="","",C596-D596)</f>
        <v/>
      </c>
      <c r="F596" s="18" t="str">
        <f t="shared" ref="F596:F659" si="50">IF(OR(B596="",C596=""),"",E596-B596)</f>
        <v/>
      </c>
      <c r="G596" s="21" t="str">
        <f t="shared" ref="G596:G659" si="51">IF(OR(B596="",B596=0),"",F596/B596)</f>
        <v/>
      </c>
      <c r="H596" s="9"/>
    </row>
    <row r="597" spans="1:8" ht="19.5" customHeight="1">
      <c r="A597" s="10"/>
      <c r="B597" s="27"/>
      <c r="C597" s="34"/>
      <c r="D597" s="11" t="str">
        <f t="shared" si="48"/>
        <v/>
      </c>
      <c r="E597" s="12" t="str">
        <f t="shared" si="49"/>
        <v/>
      </c>
      <c r="F597" s="19" t="str">
        <f t="shared" si="50"/>
        <v/>
      </c>
      <c r="G597" s="22" t="str">
        <f t="shared" si="51"/>
        <v/>
      </c>
      <c r="H597" s="13"/>
    </row>
    <row r="598" spans="1:8" ht="19.5" customHeight="1">
      <c r="A598" s="6"/>
      <c r="B598" s="26"/>
      <c r="C598" s="33"/>
      <c r="D598" s="7" t="str">
        <f t="shared" si="48"/>
        <v/>
      </c>
      <c r="E598" s="8" t="str">
        <f t="shared" si="49"/>
        <v/>
      </c>
      <c r="F598" s="18" t="str">
        <f t="shared" si="50"/>
        <v/>
      </c>
      <c r="G598" s="21" t="str">
        <f t="shared" si="51"/>
        <v/>
      </c>
      <c r="H598" s="9"/>
    </row>
    <row r="599" spans="1:8" ht="19.5" customHeight="1">
      <c r="A599" s="10"/>
      <c r="B599" s="27"/>
      <c r="C599" s="34"/>
      <c r="D599" s="11" t="str">
        <f t="shared" si="48"/>
        <v/>
      </c>
      <c r="E599" s="12" t="str">
        <f t="shared" si="49"/>
        <v/>
      </c>
      <c r="F599" s="19" t="str">
        <f t="shared" si="50"/>
        <v/>
      </c>
      <c r="G599" s="22" t="str">
        <f t="shared" si="51"/>
        <v/>
      </c>
      <c r="H599" s="13"/>
    </row>
    <row r="600" spans="1:8" ht="19.5" customHeight="1">
      <c r="A600" s="6"/>
      <c r="B600" s="26"/>
      <c r="C600" s="33"/>
      <c r="D600" s="7" t="str">
        <f t="shared" si="48"/>
        <v/>
      </c>
      <c r="E600" s="8" t="str">
        <f t="shared" si="49"/>
        <v/>
      </c>
      <c r="F600" s="18" t="str">
        <f t="shared" si="50"/>
        <v/>
      </c>
      <c r="G600" s="21" t="str">
        <f t="shared" si="51"/>
        <v/>
      </c>
      <c r="H600" s="9"/>
    </row>
    <row r="601" spans="1:8" ht="19.5" customHeight="1">
      <c r="A601" s="10"/>
      <c r="B601" s="27"/>
      <c r="C601" s="34"/>
      <c r="D601" s="11" t="str">
        <f t="shared" si="48"/>
        <v/>
      </c>
      <c r="E601" s="12" t="str">
        <f t="shared" si="49"/>
        <v/>
      </c>
      <c r="F601" s="19" t="str">
        <f t="shared" si="50"/>
        <v/>
      </c>
      <c r="G601" s="22" t="str">
        <f t="shared" si="51"/>
        <v/>
      </c>
      <c r="H601" s="13"/>
    </row>
    <row r="602" spans="1:8" ht="19.5" customHeight="1">
      <c r="A602" s="6"/>
      <c r="B602" s="26"/>
      <c r="C602" s="33"/>
      <c r="D602" s="7" t="str">
        <f t="shared" si="48"/>
        <v/>
      </c>
      <c r="E602" s="8" t="str">
        <f t="shared" si="49"/>
        <v/>
      </c>
      <c r="F602" s="18" t="str">
        <f t="shared" si="50"/>
        <v/>
      </c>
      <c r="G602" s="21" t="str">
        <f t="shared" si="51"/>
        <v/>
      </c>
      <c r="H602" s="9"/>
    </row>
    <row r="603" spans="1:8" ht="19.5" customHeight="1">
      <c r="A603" s="10"/>
      <c r="B603" s="27"/>
      <c r="C603" s="34"/>
      <c r="D603" s="11" t="str">
        <f t="shared" si="48"/>
        <v/>
      </c>
      <c r="E603" s="12" t="str">
        <f t="shared" si="49"/>
        <v/>
      </c>
      <c r="F603" s="19" t="str">
        <f t="shared" si="50"/>
        <v/>
      </c>
      <c r="G603" s="22" t="str">
        <f t="shared" si="51"/>
        <v/>
      </c>
      <c r="H603" s="13"/>
    </row>
    <row r="604" spans="1:8" ht="19.5" customHeight="1">
      <c r="A604" s="6"/>
      <c r="B604" s="26"/>
      <c r="C604" s="33"/>
      <c r="D604" s="7" t="str">
        <f t="shared" si="48"/>
        <v/>
      </c>
      <c r="E604" s="8" t="str">
        <f t="shared" si="49"/>
        <v/>
      </c>
      <c r="F604" s="18" t="str">
        <f t="shared" si="50"/>
        <v/>
      </c>
      <c r="G604" s="21" t="str">
        <f t="shared" si="51"/>
        <v/>
      </c>
      <c r="H604" s="9"/>
    </row>
    <row r="605" spans="1:8" ht="19.5" customHeight="1">
      <c r="A605" s="10"/>
      <c r="B605" s="27"/>
      <c r="C605" s="34"/>
      <c r="D605" s="11" t="str">
        <f t="shared" si="48"/>
        <v/>
      </c>
      <c r="E605" s="12" t="str">
        <f t="shared" si="49"/>
        <v/>
      </c>
      <c r="F605" s="19" t="str">
        <f t="shared" si="50"/>
        <v/>
      </c>
      <c r="G605" s="22" t="str">
        <f t="shared" si="51"/>
        <v/>
      </c>
      <c r="H605" s="13"/>
    </row>
    <row r="606" spans="1:8" ht="19.5" customHeight="1">
      <c r="A606" s="6"/>
      <c r="B606" s="26"/>
      <c r="C606" s="33"/>
      <c r="D606" s="7" t="str">
        <f t="shared" si="48"/>
        <v/>
      </c>
      <c r="E606" s="8" t="str">
        <f t="shared" si="49"/>
        <v/>
      </c>
      <c r="F606" s="18" t="str">
        <f t="shared" si="50"/>
        <v/>
      </c>
      <c r="G606" s="21" t="str">
        <f t="shared" si="51"/>
        <v/>
      </c>
      <c r="H606" s="9"/>
    </row>
    <row r="607" spans="1:8" ht="19.5" customHeight="1">
      <c r="A607" s="10"/>
      <c r="B607" s="27"/>
      <c r="C607" s="34"/>
      <c r="D607" s="11" t="str">
        <f t="shared" si="48"/>
        <v/>
      </c>
      <c r="E607" s="12" t="str">
        <f t="shared" si="49"/>
        <v/>
      </c>
      <c r="F607" s="19" t="str">
        <f t="shared" si="50"/>
        <v/>
      </c>
      <c r="G607" s="22" t="str">
        <f t="shared" si="51"/>
        <v/>
      </c>
      <c r="H607" s="13"/>
    </row>
    <row r="608" spans="1:8" ht="19.5" customHeight="1">
      <c r="A608" s="6"/>
      <c r="B608" s="26"/>
      <c r="C608" s="33"/>
      <c r="D608" s="7" t="str">
        <f t="shared" si="48"/>
        <v/>
      </c>
      <c r="E608" s="8" t="str">
        <f t="shared" si="49"/>
        <v/>
      </c>
      <c r="F608" s="18" t="str">
        <f t="shared" si="50"/>
        <v/>
      </c>
      <c r="G608" s="21" t="str">
        <f t="shared" si="51"/>
        <v/>
      </c>
      <c r="H608" s="9"/>
    </row>
    <row r="609" spans="1:8" ht="19.5" customHeight="1">
      <c r="A609" s="10"/>
      <c r="B609" s="27"/>
      <c r="C609" s="34"/>
      <c r="D609" s="11" t="str">
        <f t="shared" si="48"/>
        <v/>
      </c>
      <c r="E609" s="12" t="str">
        <f t="shared" si="49"/>
        <v/>
      </c>
      <c r="F609" s="19" t="str">
        <f t="shared" si="50"/>
        <v/>
      </c>
      <c r="G609" s="22" t="str">
        <f t="shared" si="51"/>
        <v/>
      </c>
      <c r="H609" s="13"/>
    </row>
    <row r="610" spans="1:8" ht="19.5" customHeight="1">
      <c r="A610" s="6"/>
      <c r="B610" s="26"/>
      <c r="C610" s="33"/>
      <c r="D610" s="7" t="str">
        <f t="shared" si="48"/>
        <v/>
      </c>
      <c r="E610" s="8" t="str">
        <f t="shared" si="49"/>
        <v/>
      </c>
      <c r="F610" s="18" t="str">
        <f t="shared" si="50"/>
        <v/>
      </c>
      <c r="G610" s="21" t="str">
        <f t="shared" si="51"/>
        <v/>
      </c>
      <c r="H610" s="9"/>
    </row>
    <row r="611" spans="1:8" ht="19.5" customHeight="1">
      <c r="A611" s="10"/>
      <c r="B611" s="27"/>
      <c r="C611" s="34"/>
      <c r="D611" s="11" t="str">
        <f t="shared" si="48"/>
        <v/>
      </c>
      <c r="E611" s="12" t="str">
        <f t="shared" si="49"/>
        <v/>
      </c>
      <c r="F611" s="19" t="str">
        <f t="shared" si="50"/>
        <v/>
      </c>
      <c r="G611" s="22" t="str">
        <f t="shared" si="51"/>
        <v/>
      </c>
      <c r="H611" s="13"/>
    </row>
    <row r="612" spans="1:8" ht="19.5" customHeight="1">
      <c r="A612" s="6"/>
      <c r="B612" s="26"/>
      <c r="C612" s="33"/>
      <c r="D612" s="7" t="str">
        <f t="shared" si="48"/>
        <v/>
      </c>
      <c r="E612" s="8" t="str">
        <f t="shared" si="49"/>
        <v/>
      </c>
      <c r="F612" s="18" t="str">
        <f t="shared" si="50"/>
        <v/>
      </c>
      <c r="G612" s="21" t="str">
        <f t="shared" si="51"/>
        <v/>
      </c>
      <c r="H612" s="9"/>
    </row>
    <row r="613" spans="1:8" ht="19.5" customHeight="1">
      <c r="A613" s="10"/>
      <c r="B613" s="27"/>
      <c r="C613" s="34"/>
      <c r="D613" s="11" t="str">
        <f t="shared" si="48"/>
        <v/>
      </c>
      <c r="E613" s="12" t="str">
        <f t="shared" si="49"/>
        <v/>
      </c>
      <c r="F613" s="19" t="str">
        <f t="shared" si="50"/>
        <v/>
      </c>
      <c r="G613" s="22" t="str">
        <f t="shared" si="51"/>
        <v/>
      </c>
      <c r="H613" s="13"/>
    </row>
    <row r="614" spans="1:8" ht="19.5" customHeight="1">
      <c r="A614" s="6"/>
      <c r="B614" s="26"/>
      <c r="C614" s="33"/>
      <c r="D614" s="7" t="str">
        <f t="shared" si="48"/>
        <v/>
      </c>
      <c r="E614" s="8" t="str">
        <f t="shared" si="49"/>
        <v/>
      </c>
      <c r="F614" s="18" t="str">
        <f t="shared" si="50"/>
        <v/>
      </c>
      <c r="G614" s="21" t="str">
        <f t="shared" si="51"/>
        <v/>
      </c>
      <c r="H614" s="9"/>
    </row>
    <row r="615" spans="1:8" ht="19.5" customHeight="1">
      <c r="A615" s="10"/>
      <c r="B615" s="27"/>
      <c r="C615" s="34"/>
      <c r="D615" s="11" t="str">
        <f t="shared" si="48"/>
        <v/>
      </c>
      <c r="E615" s="12" t="str">
        <f t="shared" si="49"/>
        <v/>
      </c>
      <c r="F615" s="19" t="str">
        <f t="shared" si="50"/>
        <v/>
      </c>
      <c r="G615" s="22" t="str">
        <f t="shared" si="51"/>
        <v/>
      </c>
      <c r="H615" s="13"/>
    </row>
    <row r="616" spans="1:8" ht="19.5" customHeight="1">
      <c r="A616" s="6"/>
      <c r="B616" s="26"/>
      <c r="C616" s="33"/>
      <c r="D616" s="7" t="str">
        <f t="shared" si="48"/>
        <v/>
      </c>
      <c r="E616" s="8" t="str">
        <f t="shared" si="49"/>
        <v/>
      </c>
      <c r="F616" s="18" t="str">
        <f t="shared" si="50"/>
        <v/>
      </c>
      <c r="G616" s="21" t="str">
        <f t="shared" si="51"/>
        <v/>
      </c>
      <c r="H616" s="9"/>
    </row>
    <row r="617" spans="1:8" ht="19.5" customHeight="1">
      <c r="A617" s="10"/>
      <c r="B617" s="27"/>
      <c r="C617" s="34"/>
      <c r="D617" s="11" t="str">
        <f t="shared" si="48"/>
        <v/>
      </c>
      <c r="E617" s="12" t="str">
        <f t="shared" si="49"/>
        <v/>
      </c>
      <c r="F617" s="19" t="str">
        <f t="shared" si="50"/>
        <v/>
      </c>
      <c r="G617" s="22" t="str">
        <f t="shared" si="51"/>
        <v/>
      </c>
      <c r="H617" s="13"/>
    </row>
    <row r="618" spans="1:8" ht="19.5" customHeight="1">
      <c r="A618" s="6"/>
      <c r="B618" s="26"/>
      <c r="C618" s="33"/>
      <c r="D618" s="7" t="str">
        <f t="shared" si="48"/>
        <v/>
      </c>
      <c r="E618" s="8" t="str">
        <f t="shared" si="49"/>
        <v/>
      </c>
      <c r="F618" s="18" t="str">
        <f t="shared" si="50"/>
        <v/>
      </c>
      <c r="G618" s="21" t="str">
        <f t="shared" si="51"/>
        <v/>
      </c>
      <c r="H618" s="9"/>
    </row>
    <row r="619" spans="1:8" ht="19.5" customHeight="1">
      <c r="A619" s="10"/>
      <c r="B619" s="27"/>
      <c r="C619" s="34"/>
      <c r="D619" s="11" t="str">
        <f t="shared" si="48"/>
        <v/>
      </c>
      <c r="E619" s="12" t="str">
        <f t="shared" si="49"/>
        <v/>
      </c>
      <c r="F619" s="19" t="str">
        <f t="shared" si="50"/>
        <v/>
      </c>
      <c r="G619" s="22" t="str">
        <f t="shared" si="51"/>
        <v/>
      </c>
      <c r="H619" s="13"/>
    </row>
    <row r="620" spans="1:8" ht="19.5" customHeight="1">
      <c r="A620" s="6"/>
      <c r="B620" s="26"/>
      <c r="C620" s="33"/>
      <c r="D620" s="7" t="str">
        <f t="shared" si="48"/>
        <v/>
      </c>
      <c r="E620" s="8" t="str">
        <f t="shared" si="49"/>
        <v/>
      </c>
      <c r="F620" s="18" t="str">
        <f t="shared" si="50"/>
        <v/>
      </c>
      <c r="G620" s="21" t="str">
        <f t="shared" si="51"/>
        <v/>
      </c>
      <c r="H620" s="9"/>
    </row>
    <row r="621" spans="1:8" ht="19.5" customHeight="1">
      <c r="A621" s="10"/>
      <c r="B621" s="27"/>
      <c r="C621" s="34"/>
      <c r="D621" s="11" t="str">
        <f t="shared" si="48"/>
        <v/>
      </c>
      <c r="E621" s="12" t="str">
        <f t="shared" si="49"/>
        <v/>
      </c>
      <c r="F621" s="19" t="str">
        <f t="shared" si="50"/>
        <v/>
      </c>
      <c r="G621" s="22" t="str">
        <f t="shared" si="51"/>
        <v/>
      </c>
      <c r="H621" s="13"/>
    </row>
    <row r="622" spans="1:8" ht="19.5" customHeight="1">
      <c r="A622" s="6"/>
      <c r="B622" s="26"/>
      <c r="C622" s="33"/>
      <c r="D622" s="7" t="str">
        <f t="shared" si="48"/>
        <v/>
      </c>
      <c r="E622" s="8" t="str">
        <f t="shared" si="49"/>
        <v/>
      </c>
      <c r="F622" s="18" t="str">
        <f t="shared" si="50"/>
        <v/>
      </c>
      <c r="G622" s="21" t="str">
        <f t="shared" si="51"/>
        <v/>
      </c>
      <c r="H622" s="9"/>
    </row>
    <row r="623" spans="1:8" ht="19.5" customHeight="1">
      <c r="A623" s="10"/>
      <c r="B623" s="27"/>
      <c r="C623" s="34"/>
      <c r="D623" s="11" t="str">
        <f t="shared" si="48"/>
        <v/>
      </c>
      <c r="E623" s="12" t="str">
        <f t="shared" si="49"/>
        <v/>
      </c>
      <c r="F623" s="19" t="str">
        <f t="shared" si="50"/>
        <v/>
      </c>
      <c r="G623" s="22" t="str">
        <f t="shared" si="51"/>
        <v/>
      </c>
      <c r="H623" s="13"/>
    </row>
    <row r="624" spans="1:8" ht="19.5" customHeight="1">
      <c r="A624" s="6"/>
      <c r="B624" s="26"/>
      <c r="C624" s="33"/>
      <c r="D624" s="7" t="str">
        <f t="shared" si="48"/>
        <v/>
      </c>
      <c r="E624" s="8" t="str">
        <f t="shared" si="49"/>
        <v/>
      </c>
      <c r="F624" s="18" t="str">
        <f t="shared" si="50"/>
        <v/>
      </c>
      <c r="G624" s="21" t="str">
        <f t="shared" si="51"/>
        <v/>
      </c>
      <c r="H624" s="9"/>
    </row>
    <row r="625" spans="1:8" ht="19.5" customHeight="1">
      <c r="A625" s="10"/>
      <c r="B625" s="27"/>
      <c r="C625" s="34"/>
      <c r="D625" s="11" t="str">
        <f t="shared" si="48"/>
        <v/>
      </c>
      <c r="E625" s="12" t="str">
        <f t="shared" si="49"/>
        <v/>
      </c>
      <c r="F625" s="19" t="str">
        <f t="shared" si="50"/>
        <v/>
      </c>
      <c r="G625" s="22" t="str">
        <f t="shared" si="51"/>
        <v/>
      </c>
      <c r="H625" s="13"/>
    </row>
    <row r="626" spans="1:8" ht="19.5" customHeight="1">
      <c r="A626" s="6"/>
      <c r="B626" s="26"/>
      <c r="C626" s="33"/>
      <c r="D626" s="7" t="str">
        <f t="shared" si="48"/>
        <v/>
      </c>
      <c r="E626" s="8" t="str">
        <f t="shared" si="49"/>
        <v/>
      </c>
      <c r="F626" s="18" t="str">
        <f t="shared" si="50"/>
        <v/>
      </c>
      <c r="G626" s="21" t="str">
        <f t="shared" si="51"/>
        <v/>
      </c>
      <c r="H626" s="9"/>
    </row>
    <row r="627" spans="1:8" ht="19.5" customHeight="1">
      <c r="A627" s="10"/>
      <c r="B627" s="27"/>
      <c r="C627" s="34"/>
      <c r="D627" s="11" t="str">
        <f t="shared" si="48"/>
        <v/>
      </c>
      <c r="E627" s="12" t="str">
        <f t="shared" si="49"/>
        <v/>
      </c>
      <c r="F627" s="19" t="str">
        <f t="shared" si="50"/>
        <v/>
      </c>
      <c r="G627" s="22" t="str">
        <f t="shared" si="51"/>
        <v/>
      </c>
      <c r="H627" s="13"/>
    </row>
    <row r="628" spans="1:8" ht="19.5" customHeight="1">
      <c r="A628" s="6"/>
      <c r="B628" s="26"/>
      <c r="C628" s="33"/>
      <c r="D628" s="7" t="str">
        <f t="shared" si="48"/>
        <v/>
      </c>
      <c r="E628" s="8" t="str">
        <f t="shared" si="49"/>
        <v/>
      </c>
      <c r="F628" s="18" t="str">
        <f t="shared" si="50"/>
        <v/>
      </c>
      <c r="G628" s="21" t="str">
        <f t="shared" si="51"/>
        <v/>
      </c>
      <c r="H628" s="9"/>
    </row>
    <row r="629" spans="1:8" ht="19.5" customHeight="1">
      <c r="A629" s="10"/>
      <c r="B629" s="27"/>
      <c r="C629" s="34"/>
      <c r="D629" s="11" t="str">
        <f t="shared" si="48"/>
        <v/>
      </c>
      <c r="E629" s="12" t="str">
        <f t="shared" si="49"/>
        <v/>
      </c>
      <c r="F629" s="19" t="str">
        <f t="shared" si="50"/>
        <v/>
      </c>
      <c r="G629" s="22" t="str">
        <f t="shared" si="51"/>
        <v/>
      </c>
      <c r="H629" s="13"/>
    </row>
    <row r="630" spans="1:8" ht="19.5" customHeight="1">
      <c r="A630" s="6"/>
      <c r="B630" s="26"/>
      <c r="C630" s="33"/>
      <c r="D630" s="7" t="str">
        <f t="shared" si="48"/>
        <v/>
      </c>
      <c r="E630" s="8" t="str">
        <f t="shared" si="49"/>
        <v/>
      </c>
      <c r="F630" s="18" t="str">
        <f t="shared" si="50"/>
        <v/>
      </c>
      <c r="G630" s="21" t="str">
        <f t="shared" si="51"/>
        <v/>
      </c>
      <c r="H630" s="9"/>
    </row>
    <row r="631" spans="1:8" ht="19.5" customHeight="1">
      <c r="A631" s="10"/>
      <c r="B631" s="27"/>
      <c r="C631" s="34"/>
      <c r="D631" s="11" t="str">
        <f t="shared" si="48"/>
        <v/>
      </c>
      <c r="E631" s="12" t="str">
        <f t="shared" si="49"/>
        <v/>
      </c>
      <c r="F631" s="19" t="str">
        <f t="shared" si="50"/>
        <v/>
      </c>
      <c r="G631" s="22" t="str">
        <f t="shared" si="51"/>
        <v/>
      </c>
      <c r="H631" s="13"/>
    </row>
    <row r="632" spans="1:8" ht="19.5" customHeight="1">
      <c r="A632" s="6"/>
      <c r="B632" s="26"/>
      <c r="C632" s="33"/>
      <c r="D632" s="7" t="str">
        <f t="shared" si="48"/>
        <v/>
      </c>
      <c r="E632" s="8" t="str">
        <f t="shared" si="49"/>
        <v/>
      </c>
      <c r="F632" s="18" t="str">
        <f t="shared" si="50"/>
        <v/>
      </c>
      <c r="G632" s="21" t="str">
        <f t="shared" si="51"/>
        <v/>
      </c>
      <c r="H632" s="9"/>
    </row>
    <row r="633" spans="1:8" ht="19.5" customHeight="1">
      <c r="A633" s="10"/>
      <c r="B633" s="27"/>
      <c r="C633" s="34"/>
      <c r="D633" s="11" t="str">
        <f t="shared" si="48"/>
        <v/>
      </c>
      <c r="E633" s="12" t="str">
        <f t="shared" si="49"/>
        <v/>
      </c>
      <c r="F633" s="19" t="str">
        <f t="shared" si="50"/>
        <v/>
      </c>
      <c r="G633" s="22" t="str">
        <f t="shared" si="51"/>
        <v/>
      </c>
      <c r="H633" s="13"/>
    </row>
    <row r="634" spans="1:8" ht="19.5" customHeight="1">
      <c r="A634" s="6"/>
      <c r="B634" s="26"/>
      <c r="C634" s="33"/>
      <c r="D634" s="7" t="str">
        <f t="shared" si="48"/>
        <v/>
      </c>
      <c r="E634" s="8" t="str">
        <f t="shared" si="49"/>
        <v/>
      </c>
      <c r="F634" s="18" t="str">
        <f t="shared" si="50"/>
        <v/>
      </c>
      <c r="G634" s="21" t="str">
        <f t="shared" si="51"/>
        <v/>
      </c>
      <c r="H634" s="9"/>
    </row>
    <row r="635" spans="1:8" ht="19.5" customHeight="1">
      <c r="A635" s="10"/>
      <c r="B635" s="27"/>
      <c r="C635" s="34"/>
      <c r="D635" s="11" t="str">
        <f t="shared" si="48"/>
        <v/>
      </c>
      <c r="E635" s="12" t="str">
        <f t="shared" si="49"/>
        <v/>
      </c>
      <c r="F635" s="19" t="str">
        <f t="shared" si="50"/>
        <v/>
      </c>
      <c r="G635" s="22" t="str">
        <f t="shared" si="51"/>
        <v/>
      </c>
      <c r="H635" s="13"/>
    </row>
    <row r="636" spans="1:8" ht="19.5" customHeight="1">
      <c r="A636" s="6"/>
      <c r="B636" s="26"/>
      <c r="C636" s="33"/>
      <c r="D636" s="7" t="str">
        <f t="shared" si="48"/>
        <v/>
      </c>
      <c r="E636" s="8" t="str">
        <f t="shared" si="49"/>
        <v/>
      </c>
      <c r="F636" s="18" t="str">
        <f t="shared" si="50"/>
        <v/>
      </c>
      <c r="G636" s="21" t="str">
        <f t="shared" si="51"/>
        <v/>
      </c>
      <c r="H636" s="9"/>
    </row>
    <row r="637" spans="1:8" ht="19.5" customHeight="1">
      <c r="A637" s="10"/>
      <c r="B637" s="27"/>
      <c r="C637" s="34"/>
      <c r="D637" s="11" t="str">
        <f t="shared" si="48"/>
        <v/>
      </c>
      <c r="E637" s="12" t="str">
        <f t="shared" si="49"/>
        <v/>
      </c>
      <c r="F637" s="19" t="str">
        <f t="shared" si="50"/>
        <v/>
      </c>
      <c r="G637" s="22" t="str">
        <f t="shared" si="51"/>
        <v/>
      </c>
      <c r="H637" s="13"/>
    </row>
    <row r="638" spans="1:8" ht="19.5" customHeight="1">
      <c r="A638" s="6"/>
      <c r="B638" s="26"/>
      <c r="C638" s="33"/>
      <c r="D638" s="7" t="str">
        <f t="shared" si="48"/>
        <v/>
      </c>
      <c r="E638" s="8" t="str">
        <f t="shared" si="49"/>
        <v/>
      </c>
      <c r="F638" s="18" t="str">
        <f t="shared" si="50"/>
        <v/>
      </c>
      <c r="G638" s="21" t="str">
        <f t="shared" si="51"/>
        <v/>
      </c>
      <c r="H638" s="9"/>
    </row>
    <row r="639" spans="1:8" ht="19.5" customHeight="1">
      <c r="A639" s="10"/>
      <c r="B639" s="27"/>
      <c r="C639" s="34"/>
      <c r="D639" s="11" t="str">
        <f t="shared" si="48"/>
        <v/>
      </c>
      <c r="E639" s="12" t="str">
        <f t="shared" si="49"/>
        <v/>
      </c>
      <c r="F639" s="19" t="str">
        <f t="shared" si="50"/>
        <v/>
      </c>
      <c r="G639" s="22" t="str">
        <f t="shared" si="51"/>
        <v/>
      </c>
      <c r="H639" s="13"/>
    </row>
    <row r="640" spans="1:8" ht="19.5" customHeight="1">
      <c r="A640" s="6"/>
      <c r="B640" s="26"/>
      <c r="C640" s="33"/>
      <c r="D640" s="7" t="str">
        <f t="shared" si="48"/>
        <v/>
      </c>
      <c r="E640" s="8" t="str">
        <f t="shared" si="49"/>
        <v/>
      </c>
      <c r="F640" s="18" t="str">
        <f t="shared" si="50"/>
        <v/>
      </c>
      <c r="G640" s="21" t="str">
        <f t="shared" si="51"/>
        <v/>
      </c>
      <c r="H640" s="9"/>
    </row>
    <row r="641" spans="1:8" ht="19.5" customHeight="1">
      <c r="A641" s="10"/>
      <c r="B641" s="27"/>
      <c r="C641" s="34"/>
      <c r="D641" s="11" t="str">
        <f t="shared" si="48"/>
        <v/>
      </c>
      <c r="E641" s="12" t="str">
        <f t="shared" si="49"/>
        <v/>
      </c>
      <c r="F641" s="19" t="str">
        <f t="shared" si="50"/>
        <v/>
      </c>
      <c r="G641" s="22" t="str">
        <f t="shared" si="51"/>
        <v/>
      </c>
      <c r="H641" s="13"/>
    </row>
    <row r="642" spans="1:8" ht="19.5" customHeight="1">
      <c r="A642" s="6"/>
      <c r="B642" s="26"/>
      <c r="C642" s="33"/>
      <c r="D642" s="7" t="str">
        <f t="shared" si="48"/>
        <v/>
      </c>
      <c r="E642" s="8" t="str">
        <f t="shared" si="49"/>
        <v/>
      </c>
      <c r="F642" s="18" t="str">
        <f t="shared" si="50"/>
        <v/>
      </c>
      <c r="G642" s="21" t="str">
        <f t="shared" si="51"/>
        <v/>
      </c>
      <c r="H642" s="9"/>
    </row>
    <row r="643" spans="1:8" ht="19.5" customHeight="1">
      <c r="A643" s="10"/>
      <c r="B643" s="27"/>
      <c r="C643" s="34"/>
      <c r="D643" s="11" t="str">
        <f t="shared" si="48"/>
        <v/>
      </c>
      <c r="E643" s="12" t="str">
        <f t="shared" si="49"/>
        <v/>
      </c>
      <c r="F643" s="19" t="str">
        <f t="shared" si="50"/>
        <v/>
      </c>
      <c r="G643" s="22" t="str">
        <f t="shared" si="51"/>
        <v/>
      </c>
      <c r="H643" s="13"/>
    </row>
    <row r="644" spans="1:8" ht="19.5" customHeight="1">
      <c r="A644" s="6"/>
      <c r="B644" s="26"/>
      <c r="C644" s="33"/>
      <c r="D644" s="7" t="str">
        <f t="shared" si="48"/>
        <v/>
      </c>
      <c r="E644" s="8" t="str">
        <f t="shared" si="49"/>
        <v/>
      </c>
      <c r="F644" s="18" t="str">
        <f t="shared" si="50"/>
        <v/>
      </c>
      <c r="G644" s="21" t="str">
        <f t="shared" si="51"/>
        <v/>
      </c>
      <c r="H644" s="9"/>
    </row>
    <row r="645" spans="1:8" ht="19.5" customHeight="1">
      <c r="A645" s="10"/>
      <c r="B645" s="27"/>
      <c r="C645" s="34"/>
      <c r="D645" s="11" t="str">
        <f t="shared" si="48"/>
        <v/>
      </c>
      <c r="E645" s="12" t="str">
        <f t="shared" si="49"/>
        <v/>
      </c>
      <c r="F645" s="19" t="str">
        <f t="shared" si="50"/>
        <v/>
      </c>
      <c r="G645" s="22" t="str">
        <f t="shared" si="51"/>
        <v/>
      </c>
      <c r="H645" s="13"/>
    </row>
    <row r="646" spans="1:8" ht="19.5" customHeight="1">
      <c r="A646" s="6"/>
      <c r="B646" s="26"/>
      <c r="C646" s="33"/>
      <c r="D646" s="7" t="str">
        <f t="shared" si="48"/>
        <v/>
      </c>
      <c r="E646" s="8" t="str">
        <f t="shared" si="49"/>
        <v/>
      </c>
      <c r="F646" s="18" t="str">
        <f t="shared" si="50"/>
        <v/>
      </c>
      <c r="G646" s="21" t="str">
        <f t="shared" si="51"/>
        <v/>
      </c>
      <c r="H646" s="9"/>
    </row>
    <row r="647" spans="1:8" ht="19.5" customHeight="1">
      <c r="A647" s="10"/>
      <c r="B647" s="27"/>
      <c r="C647" s="34"/>
      <c r="D647" s="11" t="str">
        <f t="shared" si="48"/>
        <v/>
      </c>
      <c r="E647" s="12" t="str">
        <f t="shared" si="49"/>
        <v/>
      </c>
      <c r="F647" s="19" t="str">
        <f t="shared" si="50"/>
        <v/>
      </c>
      <c r="G647" s="22" t="str">
        <f t="shared" si="51"/>
        <v/>
      </c>
      <c r="H647" s="13"/>
    </row>
    <row r="648" spans="1:8" ht="19.5" customHeight="1">
      <c r="A648" s="6"/>
      <c r="B648" s="26"/>
      <c r="C648" s="33"/>
      <c r="D648" s="7" t="str">
        <f t="shared" si="48"/>
        <v/>
      </c>
      <c r="E648" s="8" t="str">
        <f t="shared" si="49"/>
        <v/>
      </c>
      <c r="F648" s="18" t="str">
        <f t="shared" si="50"/>
        <v/>
      </c>
      <c r="G648" s="21" t="str">
        <f t="shared" si="51"/>
        <v/>
      </c>
      <c r="H648" s="9"/>
    </row>
    <row r="649" spans="1:8" ht="19.5" customHeight="1">
      <c r="A649" s="10"/>
      <c r="B649" s="27"/>
      <c r="C649" s="34"/>
      <c r="D649" s="11" t="str">
        <f t="shared" si="48"/>
        <v/>
      </c>
      <c r="E649" s="12" t="str">
        <f t="shared" si="49"/>
        <v/>
      </c>
      <c r="F649" s="19" t="str">
        <f t="shared" si="50"/>
        <v/>
      </c>
      <c r="G649" s="22" t="str">
        <f t="shared" si="51"/>
        <v/>
      </c>
      <c r="H649" s="13"/>
    </row>
    <row r="650" spans="1:8" ht="19.5" customHeight="1">
      <c r="A650" s="6"/>
      <c r="B650" s="26"/>
      <c r="C650" s="33"/>
      <c r="D650" s="7" t="str">
        <f t="shared" si="48"/>
        <v/>
      </c>
      <c r="E650" s="8" t="str">
        <f t="shared" si="49"/>
        <v/>
      </c>
      <c r="F650" s="18" t="str">
        <f t="shared" si="50"/>
        <v/>
      </c>
      <c r="G650" s="21" t="str">
        <f t="shared" si="51"/>
        <v/>
      </c>
      <c r="H650" s="9"/>
    </row>
    <row r="651" spans="1:8" ht="19.5" customHeight="1">
      <c r="A651" s="10"/>
      <c r="B651" s="27"/>
      <c r="C651" s="34"/>
      <c r="D651" s="11" t="str">
        <f t="shared" si="48"/>
        <v/>
      </c>
      <c r="E651" s="12" t="str">
        <f t="shared" si="49"/>
        <v/>
      </c>
      <c r="F651" s="19" t="str">
        <f t="shared" si="50"/>
        <v/>
      </c>
      <c r="G651" s="22" t="str">
        <f t="shared" si="51"/>
        <v/>
      </c>
      <c r="H651" s="13"/>
    </row>
    <row r="652" spans="1:8" ht="19.5" customHeight="1">
      <c r="A652" s="6"/>
      <c r="B652" s="26"/>
      <c r="C652" s="33"/>
      <c r="D652" s="7" t="str">
        <f t="shared" si="48"/>
        <v/>
      </c>
      <c r="E652" s="8" t="str">
        <f t="shared" si="49"/>
        <v/>
      </c>
      <c r="F652" s="18" t="str">
        <f t="shared" si="50"/>
        <v/>
      </c>
      <c r="G652" s="21" t="str">
        <f t="shared" si="51"/>
        <v/>
      </c>
      <c r="H652" s="9"/>
    </row>
    <row r="653" spans="1:8" ht="19.5" customHeight="1">
      <c r="A653" s="10"/>
      <c r="B653" s="27"/>
      <c r="C653" s="34"/>
      <c r="D653" s="11" t="str">
        <f t="shared" si="48"/>
        <v/>
      </c>
      <c r="E653" s="12" t="str">
        <f t="shared" si="49"/>
        <v/>
      </c>
      <c r="F653" s="19" t="str">
        <f t="shared" si="50"/>
        <v/>
      </c>
      <c r="G653" s="22" t="str">
        <f t="shared" si="51"/>
        <v/>
      </c>
      <c r="H653" s="13"/>
    </row>
    <row r="654" spans="1:8" ht="19.5" customHeight="1">
      <c r="A654" s="6"/>
      <c r="B654" s="26"/>
      <c r="C654" s="33"/>
      <c r="D654" s="7" t="str">
        <f t="shared" si="48"/>
        <v/>
      </c>
      <c r="E654" s="8" t="str">
        <f t="shared" si="49"/>
        <v/>
      </c>
      <c r="F654" s="18" t="str">
        <f t="shared" si="50"/>
        <v/>
      </c>
      <c r="G654" s="21" t="str">
        <f t="shared" si="51"/>
        <v/>
      </c>
      <c r="H654" s="9"/>
    </row>
    <row r="655" spans="1:8" ht="19.5" customHeight="1">
      <c r="A655" s="10"/>
      <c r="B655" s="27"/>
      <c r="C655" s="34"/>
      <c r="D655" s="11" t="str">
        <f t="shared" si="48"/>
        <v/>
      </c>
      <c r="E655" s="12" t="str">
        <f t="shared" si="49"/>
        <v/>
      </c>
      <c r="F655" s="19" t="str">
        <f t="shared" si="50"/>
        <v/>
      </c>
      <c r="G655" s="22" t="str">
        <f t="shared" si="51"/>
        <v/>
      </c>
      <c r="H655" s="13"/>
    </row>
    <row r="656" spans="1:8" ht="19.5" customHeight="1">
      <c r="A656" s="6"/>
      <c r="B656" s="26"/>
      <c r="C656" s="33"/>
      <c r="D656" s="7" t="str">
        <f t="shared" si="48"/>
        <v/>
      </c>
      <c r="E656" s="8" t="str">
        <f t="shared" si="49"/>
        <v/>
      </c>
      <c r="F656" s="18" t="str">
        <f t="shared" si="50"/>
        <v/>
      </c>
      <c r="G656" s="21" t="str">
        <f t="shared" si="51"/>
        <v/>
      </c>
      <c r="H656" s="9"/>
    </row>
    <row r="657" spans="1:8" ht="19.5" customHeight="1">
      <c r="A657" s="10"/>
      <c r="B657" s="27"/>
      <c r="C657" s="34"/>
      <c r="D657" s="11" t="str">
        <f t="shared" si="48"/>
        <v/>
      </c>
      <c r="E657" s="12" t="str">
        <f t="shared" si="49"/>
        <v/>
      </c>
      <c r="F657" s="19" t="str">
        <f t="shared" si="50"/>
        <v/>
      </c>
      <c r="G657" s="22" t="str">
        <f t="shared" si="51"/>
        <v/>
      </c>
      <c r="H657" s="13"/>
    </row>
    <row r="658" spans="1:8" ht="19.5" customHeight="1">
      <c r="A658" s="6"/>
      <c r="B658" s="26"/>
      <c r="C658" s="33"/>
      <c r="D658" s="7" t="str">
        <f t="shared" si="48"/>
        <v/>
      </c>
      <c r="E658" s="8" t="str">
        <f t="shared" si="49"/>
        <v/>
      </c>
      <c r="F658" s="18" t="str">
        <f t="shared" si="50"/>
        <v/>
      </c>
      <c r="G658" s="21" t="str">
        <f t="shared" si="51"/>
        <v/>
      </c>
      <c r="H658" s="9"/>
    </row>
    <row r="659" spans="1:8" ht="19.5" customHeight="1">
      <c r="A659" s="10"/>
      <c r="B659" s="27"/>
      <c r="C659" s="34"/>
      <c r="D659" s="11" t="str">
        <f t="shared" si="48"/>
        <v/>
      </c>
      <c r="E659" s="12" t="str">
        <f t="shared" si="49"/>
        <v/>
      </c>
      <c r="F659" s="19" t="str">
        <f t="shared" si="50"/>
        <v/>
      </c>
      <c r="G659" s="22" t="str">
        <f t="shared" si="51"/>
        <v/>
      </c>
      <c r="H659" s="13"/>
    </row>
    <row r="660" spans="1:8" ht="19.5" customHeight="1">
      <c r="A660" s="6"/>
      <c r="B660" s="26"/>
      <c r="C660" s="33"/>
      <c r="D660" s="7" t="str">
        <f t="shared" ref="D660:D723" si="52">IF(C660="","",C660*$B$1)</f>
        <v/>
      </c>
      <c r="E660" s="8" t="str">
        <f t="shared" ref="E660:E723" si="53">IF(C660="","",C660-D660)</f>
        <v/>
      </c>
      <c r="F660" s="18" t="str">
        <f t="shared" ref="F660:F723" si="54">IF(OR(B660="",C660=""),"",E660-B660)</f>
        <v/>
      </c>
      <c r="G660" s="21" t="str">
        <f t="shared" ref="G660:G723" si="55">IF(OR(B660="",B660=0),"",F660/B660)</f>
        <v/>
      </c>
      <c r="H660" s="9"/>
    </row>
    <row r="661" spans="1:8" ht="19.5" customHeight="1">
      <c r="A661" s="10"/>
      <c r="B661" s="27"/>
      <c r="C661" s="34"/>
      <c r="D661" s="11" t="str">
        <f t="shared" si="52"/>
        <v/>
      </c>
      <c r="E661" s="12" t="str">
        <f t="shared" si="53"/>
        <v/>
      </c>
      <c r="F661" s="19" t="str">
        <f t="shared" si="54"/>
        <v/>
      </c>
      <c r="G661" s="22" t="str">
        <f t="shared" si="55"/>
        <v/>
      </c>
      <c r="H661" s="13"/>
    </row>
    <row r="662" spans="1:8" ht="19.5" customHeight="1">
      <c r="A662" s="6"/>
      <c r="B662" s="26"/>
      <c r="C662" s="33"/>
      <c r="D662" s="7" t="str">
        <f t="shared" si="52"/>
        <v/>
      </c>
      <c r="E662" s="8" t="str">
        <f t="shared" si="53"/>
        <v/>
      </c>
      <c r="F662" s="18" t="str">
        <f t="shared" si="54"/>
        <v/>
      </c>
      <c r="G662" s="21" t="str">
        <f t="shared" si="55"/>
        <v/>
      </c>
      <c r="H662" s="9"/>
    </row>
    <row r="663" spans="1:8" ht="19.5" customHeight="1">
      <c r="A663" s="10"/>
      <c r="B663" s="27"/>
      <c r="C663" s="34"/>
      <c r="D663" s="11" t="str">
        <f t="shared" si="52"/>
        <v/>
      </c>
      <c r="E663" s="12" t="str">
        <f t="shared" si="53"/>
        <v/>
      </c>
      <c r="F663" s="19" t="str">
        <f t="shared" si="54"/>
        <v/>
      </c>
      <c r="G663" s="22" t="str">
        <f t="shared" si="55"/>
        <v/>
      </c>
      <c r="H663" s="13"/>
    </row>
    <row r="664" spans="1:8" ht="19.5" customHeight="1">
      <c r="A664" s="6"/>
      <c r="B664" s="26"/>
      <c r="C664" s="33"/>
      <c r="D664" s="7" t="str">
        <f t="shared" si="52"/>
        <v/>
      </c>
      <c r="E664" s="8" t="str">
        <f t="shared" si="53"/>
        <v/>
      </c>
      <c r="F664" s="18" t="str">
        <f t="shared" si="54"/>
        <v/>
      </c>
      <c r="G664" s="21" t="str">
        <f t="shared" si="55"/>
        <v/>
      </c>
      <c r="H664" s="9"/>
    </row>
    <row r="665" spans="1:8" ht="19.5" customHeight="1">
      <c r="A665" s="10"/>
      <c r="B665" s="27"/>
      <c r="C665" s="34"/>
      <c r="D665" s="11" t="str">
        <f t="shared" si="52"/>
        <v/>
      </c>
      <c r="E665" s="12" t="str">
        <f t="shared" si="53"/>
        <v/>
      </c>
      <c r="F665" s="19" t="str">
        <f t="shared" si="54"/>
        <v/>
      </c>
      <c r="G665" s="22" t="str">
        <f t="shared" si="55"/>
        <v/>
      </c>
      <c r="H665" s="13"/>
    </row>
    <row r="666" spans="1:8" ht="19.5" customHeight="1">
      <c r="A666" s="6"/>
      <c r="B666" s="26"/>
      <c r="C666" s="33"/>
      <c r="D666" s="7" t="str">
        <f t="shared" si="52"/>
        <v/>
      </c>
      <c r="E666" s="8" t="str">
        <f t="shared" si="53"/>
        <v/>
      </c>
      <c r="F666" s="18" t="str">
        <f t="shared" si="54"/>
        <v/>
      </c>
      <c r="G666" s="21" t="str">
        <f t="shared" si="55"/>
        <v/>
      </c>
      <c r="H666" s="9"/>
    </row>
    <row r="667" spans="1:8" ht="19.5" customHeight="1">
      <c r="A667" s="10"/>
      <c r="B667" s="27"/>
      <c r="C667" s="34"/>
      <c r="D667" s="11" t="str">
        <f t="shared" si="52"/>
        <v/>
      </c>
      <c r="E667" s="12" t="str">
        <f t="shared" si="53"/>
        <v/>
      </c>
      <c r="F667" s="19" t="str">
        <f t="shared" si="54"/>
        <v/>
      </c>
      <c r="G667" s="22" t="str">
        <f t="shared" si="55"/>
        <v/>
      </c>
      <c r="H667" s="13"/>
    </row>
    <row r="668" spans="1:8" ht="19.5" customHeight="1">
      <c r="A668" s="6"/>
      <c r="B668" s="26"/>
      <c r="C668" s="33"/>
      <c r="D668" s="7" t="str">
        <f t="shared" si="52"/>
        <v/>
      </c>
      <c r="E668" s="8" t="str">
        <f t="shared" si="53"/>
        <v/>
      </c>
      <c r="F668" s="18" t="str">
        <f t="shared" si="54"/>
        <v/>
      </c>
      <c r="G668" s="21" t="str">
        <f t="shared" si="55"/>
        <v/>
      </c>
      <c r="H668" s="9"/>
    </row>
    <row r="669" spans="1:8" ht="19.5" customHeight="1">
      <c r="A669" s="10"/>
      <c r="B669" s="27"/>
      <c r="C669" s="34"/>
      <c r="D669" s="11" t="str">
        <f t="shared" si="52"/>
        <v/>
      </c>
      <c r="E669" s="12" t="str">
        <f t="shared" si="53"/>
        <v/>
      </c>
      <c r="F669" s="19" t="str">
        <f t="shared" si="54"/>
        <v/>
      </c>
      <c r="G669" s="22" t="str">
        <f t="shared" si="55"/>
        <v/>
      </c>
      <c r="H669" s="13"/>
    </row>
    <row r="670" spans="1:8" ht="19.5" customHeight="1">
      <c r="A670" s="6"/>
      <c r="B670" s="26"/>
      <c r="C670" s="33"/>
      <c r="D670" s="7" t="str">
        <f t="shared" si="52"/>
        <v/>
      </c>
      <c r="E670" s="8" t="str">
        <f t="shared" si="53"/>
        <v/>
      </c>
      <c r="F670" s="18" t="str">
        <f t="shared" si="54"/>
        <v/>
      </c>
      <c r="G670" s="21" t="str">
        <f t="shared" si="55"/>
        <v/>
      </c>
      <c r="H670" s="9"/>
    </row>
    <row r="671" spans="1:8" ht="19.5" customHeight="1">
      <c r="A671" s="10"/>
      <c r="B671" s="27"/>
      <c r="C671" s="34"/>
      <c r="D671" s="11" t="str">
        <f t="shared" si="52"/>
        <v/>
      </c>
      <c r="E671" s="12" t="str">
        <f t="shared" si="53"/>
        <v/>
      </c>
      <c r="F671" s="19" t="str">
        <f t="shared" si="54"/>
        <v/>
      </c>
      <c r="G671" s="22" t="str">
        <f t="shared" si="55"/>
        <v/>
      </c>
      <c r="H671" s="13"/>
    </row>
    <row r="672" spans="1:8" ht="19.5" customHeight="1">
      <c r="A672" s="6"/>
      <c r="B672" s="26"/>
      <c r="C672" s="33"/>
      <c r="D672" s="7" t="str">
        <f t="shared" si="52"/>
        <v/>
      </c>
      <c r="E672" s="8" t="str">
        <f t="shared" si="53"/>
        <v/>
      </c>
      <c r="F672" s="18" t="str">
        <f t="shared" si="54"/>
        <v/>
      </c>
      <c r="G672" s="21" t="str">
        <f t="shared" si="55"/>
        <v/>
      </c>
      <c r="H672" s="9"/>
    </row>
    <row r="673" spans="1:8" ht="19.5" customHeight="1">
      <c r="A673" s="10"/>
      <c r="B673" s="27"/>
      <c r="C673" s="34"/>
      <c r="D673" s="11" t="str">
        <f t="shared" si="52"/>
        <v/>
      </c>
      <c r="E673" s="12" t="str">
        <f t="shared" si="53"/>
        <v/>
      </c>
      <c r="F673" s="19" t="str">
        <f t="shared" si="54"/>
        <v/>
      </c>
      <c r="G673" s="22" t="str">
        <f t="shared" si="55"/>
        <v/>
      </c>
      <c r="H673" s="13"/>
    </row>
    <row r="674" spans="1:8" ht="19.5" customHeight="1">
      <c r="A674" s="6"/>
      <c r="B674" s="26"/>
      <c r="C674" s="33"/>
      <c r="D674" s="7" t="str">
        <f t="shared" si="52"/>
        <v/>
      </c>
      <c r="E674" s="8" t="str">
        <f t="shared" si="53"/>
        <v/>
      </c>
      <c r="F674" s="18" t="str">
        <f t="shared" si="54"/>
        <v/>
      </c>
      <c r="G674" s="21" t="str">
        <f t="shared" si="55"/>
        <v/>
      </c>
      <c r="H674" s="9"/>
    </row>
    <row r="675" spans="1:8" ht="19.5" customHeight="1">
      <c r="A675" s="10"/>
      <c r="B675" s="27"/>
      <c r="C675" s="34"/>
      <c r="D675" s="11" t="str">
        <f t="shared" si="52"/>
        <v/>
      </c>
      <c r="E675" s="12" t="str">
        <f t="shared" si="53"/>
        <v/>
      </c>
      <c r="F675" s="19" t="str">
        <f t="shared" si="54"/>
        <v/>
      </c>
      <c r="G675" s="22" t="str">
        <f t="shared" si="55"/>
        <v/>
      </c>
      <c r="H675" s="13"/>
    </row>
    <row r="676" spans="1:8" ht="19.5" customHeight="1">
      <c r="A676" s="6"/>
      <c r="B676" s="26"/>
      <c r="C676" s="33"/>
      <c r="D676" s="7" t="str">
        <f t="shared" si="52"/>
        <v/>
      </c>
      <c r="E676" s="8" t="str">
        <f t="shared" si="53"/>
        <v/>
      </c>
      <c r="F676" s="18" t="str">
        <f t="shared" si="54"/>
        <v/>
      </c>
      <c r="G676" s="21" t="str">
        <f t="shared" si="55"/>
        <v/>
      </c>
      <c r="H676" s="9"/>
    </row>
    <row r="677" spans="1:8" ht="19.5" customHeight="1">
      <c r="A677" s="10"/>
      <c r="B677" s="27"/>
      <c r="C677" s="34"/>
      <c r="D677" s="11" t="str">
        <f t="shared" si="52"/>
        <v/>
      </c>
      <c r="E677" s="12" t="str">
        <f t="shared" si="53"/>
        <v/>
      </c>
      <c r="F677" s="19" t="str">
        <f t="shared" si="54"/>
        <v/>
      </c>
      <c r="G677" s="22" t="str">
        <f t="shared" si="55"/>
        <v/>
      </c>
      <c r="H677" s="13"/>
    </row>
    <row r="678" spans="1:8" ht="19.5" customHeight="1">
      <c r="A678" s="6"/>
      <c r="B678" s="26"/>
      <c r="C678" s="33"/>
      <c r="D678" s="7" t="str">
        <f t="shared" si="52"/>
        <v/>
      </c>
      <c r="E678" s="8" t="str">
        <f t="shared" si="53"/>
        <v/>
      </c>
      <c r="F678" s="18" t="str">
        <f t="shared" si="54"/>
        <v/>
      </c>
      <c r="G678" s="21" t="str">
        <f t="shared" si="55"/>
        <v/>
      </c>
      <c r="H678" s="9"/>
    </row>
    <row r="679" spans="1:8" ht="19.5" customHeight="1">
      <c r="A679" s="10"/>
      <c r="B679" s="27"/>
      <c r="C679" s="34"/>
      <c r="D679" s="11" t="str">
        <f t="shared" si="52"/>
        <v/>
      </c>
      <c r="E679" s="12" t="str">
        <f t="shared" si="53"/>
        <v/>
      </c>
      <c r="F679" s="19" t="str">
        <f t="shared" si="54"/>
        <v/>
      </c>
      <c r="G679" s="22" t="str">
        <f t="shared" si="55"/>
        <v/>
      </c>
      <c r="H679" s="13"/>
    </row>
    <row r="680" spans="1:8" ht="19.5" customHeight="1">
      <c r="A680" s="6"/>
      <c r="B680" s="26"/>
      <c r="C680" s="33"/>
      <c r="D680" s="7" t="str">
        <f t="shared" si="52"/>
        <v/>
      </c>
      <c r="E680" s="8" t="str">
        <f t="shared" si="53"/>
        <v/>
      </c>
      <c r="F680" s="18" t="str">
        <f t="shared" si="54"/>
        <v/>
      </c>
      <c r="G680" s="21" t="str">
        <f t="shared" si="55"/>
        <v/>
      </c>
      <c r="H680" s="9"/>
    </row>
    <row r="681" spans="1:8" ht="19.5" customHeight="1">
      <c r="A681" s="10"/>
      <c r="B681" s="27"/>
      <c r="C681" s="34"/>
      <c r="D681" s="11" t="str">
        <f t="shared" si="52"/>
        <v/>
      </c>
      <c r="E681" s="12" t="str">
        <f t="shared" si="53"/>
        <v/>
      </c>
      <c r="F681" s="19" t="str">
        <f t="shared" si="54"/>
        <v/>
      </c>
      <c r="G681" s="22" t="str">
        <f t="shared" si="55"/>
        <v/>
      </c>
      <c r="H681" s="13"/>
    </row>
    <row r="682" spans="1:8" ht="19.5" customHeight="1">
      <c r="A682" s="6"/>
      <c r="B682" s="26"/>
      <c r="C682" s="33"/>
      <c r="D682" s="7" t="str">
        <f t="shared" si="52"/>
        <v/>
      </c>
      <c r="E682" s="8" t="str">
        <f t="shared" si="53"/>
        <v/>
      </c>
      <c r="F682" s="18" t="str">
        <f t="shared" si="54"/>
        <v/>
      </c>
      <c r="G682" s="21" t="str">
        <f t="shared" si="55"/>
        <v/>
      </c>
      <c r="H682" s="9"/>
    </row>
    <row r="683" spans="1:8" ht="19.5" customHeight="1">
      <c r="A683" s="10"/>
      <c r="B683" s="27"/>
      <c r="C683" s="34"/>
      <c r="D683" s="11" t="str">
        <f t="shared" si="52"/>
        <v/>
      </c>
      <c r="E683" s="12" t="str">
        <f t="shared" si="53"/>
        <v/>
      </c>
      <c r="F683" s="19" t="str">
        <f t="shared" si="54"/>
        <v/>
      </c>
      <c r="G683" s="22" t="str">
        <f t="shared" si="55"/>
        <v/>
      </c>
      <c r="H683" s="13"/>
    </row>
    <row r="684" spans="1:8" ht="19.5" customHeight="1">
      <c r="A684" s="6"/>
      <c r="B684" s="26"/>
      <c r="C684" s="33"/>
      <c r="D684" s="7" t="str">
        <f t="shared" si="52"/>
        <v/>
      </c>
      <c r="E684" s="8" t="str">
        <f t="shared" si="53"/>
        <v/>
      </c>
      <c r="F684" s="18" t="str">
        <f t="shared" si="54"/>
        <v/>
      </c>
      <c r="G684" s="21" t="str">
        <f t="shared" si="55"/>
        <v/>
      </c>
      <c r="H684" s="9"/>
    </row>
    <row r="685" spans="1:8" ht="19.5" customHeight="1">
      <c r="A685" s="10"/>
      <c r="B685" s="27"/>
      <c r="C685" s="34"/>
      <c r="D685" s="11" t="str">
        <f t="shared" si="52"/>
        <v/>
      </c>
      <c r="E685" s="12" t="str">
        <f t="shared" si="53"/>
        <v/>
      </c>
      <c r="F685" s="19" t="str">
        <f t="shared" si="54"/>
        <v/>
      </c>
      <c r="G685" s="22" t="str">
        <f t="shared" si="55"/>
        <v/>
      </c>
      <c r="H685" s="13"/>
    </row>
    <row r="686" spans="1:8" ht="19.5" customHeight="1">
      <c r="A686" s="6"/>
      <c r="B686" s="26"/>
      <c r="C686" s="33"/>
      <c r="D686" s="7" t="str">
        <f t="shared" si="52"/>
        <v/>
      </c>
      <c r="E686" s="8" t="str">
        <f t="shared" si="53"/>
        <v/>
      </c>
      <c r="F686" s="18" t="str">
        <f t="shared" si="54"/>
        <v/>
      </c>
      <c r="G686" s="21" t="str">
        <f t="shared" si="55"/>
        <v/>
      </c>
      <c r="H686" s="9"/>
    </row>
    <row r="687" spans="1:8" ht="19.5" customHeight="1">
      <c r="A687" s="10"/>
      <c r="B687" s="27"/>
      <c r="C687" s="34"/>
      <c r="D687" s="11" t="str">
        <f t="shared" si="52"/>
        <v/>
      </c>
      <c r="E687" s="12" t="str">
        <f t="shared" si="53"/>
        <v/>
      </c>
      <c r="F687" s="19" t="str">
        <f t="shared" si="54"/>
        <v/>
      </c>
      <c r="G687" s="22" t="str">
        <f t="shared" si="55"/>
        <v/>
      </c>
      <c r="H687" s="13"/>
    </row>
    <row r="688" spans="1:8" ht="19.5" customHeight="1">
      <c r="A688" s="6"/>
      <c r="B688" s="26"/>
      <c r="C688" s="33"/>
      <c r="D688" s="7" t="str">
        <f t="shared" si="52"/>
        <v/>
      </c>
      <c r="E688" s="8" t="str">
        <f t="shared" si="53"/>
        <v/>
      </c>
      <c r="F688" s="18" t="str">
        <f t="shared" si="54"/>
        <v/>
      </c>
      <c r="G688" s="21" t="str">
        <f t="shared" si="55"/>
        <v/>
      </c>
      <c r="H688" s="9"/>
    </row>
    <row r="689" spans="1:8" ht="19.5" customHeight="1">
      <c r="A689" s="10"/>
      <c r="B689" s="27"/>
      <c r="C689" s="34"/>
      <c r="D689" s="11" t="str">
        <f t="shared" si="52"/>
        <v/>
      </c>
      <c r="E689" s="12" t="str">
        <f t="shared" si="53"/>
        <v/>
      </c>
      <c r="F689" s="19" t="str">
        <f t="shared" si="54"/>
        <v/>
      </c>
      <c r="G689" s="22" t="str">
        <f t="shared" si="55"/>
        <v/>
      </c>
      <c r="H689" s="13"/>
    </row>
    <row r="690" spans="1:8" ht="19.5" customHeight="1">
      <c r="A690" s="6"/>
      <c r="B690" s="26"/>
      <c r="C690" s="33"/>
      <c r="D690" s="7" t="str">
        <f t="shared" si="52"/>
        <v/>
      </c>
      <c r="E690" s="8" t="str">
        <f t="shared" si="53"/>
        <v/>
      </c>
      <c r="F690" s="18" t="str">
        <f t="shared" si="54"/>
        <v/>
      </c>
      <c r="G690" s="21" t="str">
        <f t="shared" si="55"/>
        <v/>
      </c>
      <c r="H690" s="9"/>
    </row>
    <row r="691" spans="1:8" ht="19.5" customHeight="1">
      <c r="A691" s="10"/>
      <c r="B691" s="27"/>
      <c r="C691" s="34"/>
      <c r="D691" s="11" t="str">
        <f t="shared" si="52"/>
        <v/>
      </c>
      <c r="E691" s="12" t="str">
        <f t="shared" si="53"/>
        <v/>
      </c>
      <c r="F691" s="19" t="str">
        <f t="shared" si="54"/>
        <v/>
      </c>
      <c r="G691" s="22" t="str">
        <f t="shared" si="55"/>
        <v/>
      </c>
      <c r="H691" s="13"/>
    </row>
    <row r="692" spans="1:8" ht="19.5" customHeight="1">
      <c r="A692" s="6"/>
      <c r="B692" s="26"/>
      <c r="C692" s="33"/>
      <c r="D692" s="7" t="str">
        <f t="shared" si="52"/>
        <v/>
      </c>
      <c r="E692" s="8" t="str">
        <f t="shared" si="53"/>
        <v/>
      </c>
      <c r="F692" s="18" t="str">
        <f t="shared" si="54"/>
        <v/>
      </c>
      <c r="G692" s="21" t="str">
        <f t="shared" si="55"/>
        <v/>
      </c>
      <c r="H692" s="9"/>
    </row>
    <row r="693" spans="1:8" ht="19.5" customHeight="1">
      <c r="A693" s="10"/>
      <c r="B693" s="27"/>
      <c r="C693" s="34"/>
      <c r="D693" s="11" t="str">
        <f t="shared" si="52"/>
        <v/>
      </c>
      <c r="E693" s="12" t="str">
        <f t="shared" si="53"/>
        <v/>
      </c>
      <c r="F693" s="19" t="str">
        <f t="shared" si="54"/>
        <v/>
      </c>
      <c r="G693" s="22" t="str">
        <f t="shared" si="55"/>
        <v/>
      </c>
      <c r="H693" s="13"/>
    </row>
    <row r="694" spans="1:8" ht="19.5" customHeight="1">
      <c r="A694" s="6"/>
      <c r="B694" s="26"/>
      <c r="C694" s="33"/>
      <c r="D694" s="7" t="str">
        <f t="shared" si="52"/>
        <v/>
      </c>
      <c r="E694" s="8" t="str">
        <f t="shared" si="53"/>
        <v/>
      </c>
      <c r="F694" s="18" t="str">
        <f t="shared" si="54"/>
        <v/>
      </c>
      <c r="G694" s="21" t="str">
        <f t="shared" si="55"/>
        <v/>
      </c>
      <c r="H694" s="9"/>
    </row>
    <row r="695" spans="1:8" ht="19.5" customHeight="1">
      <c r="A695" s="10"/>
      <c r="B695" s="27"/>
      <c r="C695" s="34"/>
      <c r="D695" s="11" t="str">
        <f t="shared" si="52"/>
        <v/>
      </c>
      <c r="E695" s="12" t="str">
        <f t="shared" si="53"/>
        <v/>
      </c>
      <c r="F695" s="19" t="str">
        <f t="shared" si="54"/>
        <v/>
      </c>
      <c r="G695" s="22" t="str">
        <f t="shared" si="55"/>
        <v/>
      </c>
      <c r="H695" s="13"/>
    </row>
    <row r="696" spans="1:8" ht="19.5" customHeight="1">
      <c r="A696" s="6"/>
      <c r="B696" s="26"/>
      <c r="C696" s="33"/>
      <c r="D696" s="7" t="str">
        <f t="shared" si="52"/>
        <v/>
      </c>
      <c r="E696" s="8" t="str">
        <f t="shared" si="53"/>
        <v/>
      </c>
      <c r="F696" s="18" t="str">
        <f t="shared" si="54"/>
        <v/>
      </c>
      <c r="G696" s="21" t="str">
        <f t="shared" si="55"/>
        <v/>
      </c>
      <c r="H696" s="9"/>
    </row>
    <row r="697" spans="1:8" ht="19.5" customHeight="1">
      <c r="A697" s="10"/>
      <c r="B697" s="27"/>
      <c r="C697" s="34"/>
      <c r="D697" s="11" t="str">
        <f t="shared" si="52"/>
        <v/>
      </c>
      <c r="E697" s="12" t="str">
        <f t="shared" si="53"/>
        <v/>
      </c>
      <c r="F697" s="19" t="str">
        <f t="shared" si="54"/>
        <v/>
      </c>
      <c r="G697" s="22" t="str">
        <f t="shared" si="55"/>
        <v/>
      </c>
      <c r="H697" s="13"/>
    </row>
    <row r="698" spans="1:8" ht="19.5" customHeight="1">
      <c r="A698" s="6"/>
      <c r="B698" s="26"/>
      <c r="C698" s="33"/>
      <c r="D698" s="7" t="str">
        <f t="shared" si="52"/>
        <v/>
      </c>
      <c r="E698" s="8" t="str">
        <f t="shared" si="53"/>
        <v/>
      </c>
      <c r="F698" s="18" t="str">
        <f t="shared" si="54"/>
        <v/>
      </c>
      <c r="G698" s="21" t="str">
        <f t="shared" si="55"/>
        <v/>
      </c>
      <c r="H698" s="9"/>
    </row>
    <row r="699" spans="1:8" ht="19.5" customHeight="1">
      <c r="A699" s="10"/>
      <c r="B699" s="27"/>
      <c r="C699" s="34"/>
      <c r="D699" s="11" t="str">
        <f t="shared" si="52"/>
        <v/>
      </c>
      <c r="E699" s="12" t="str">
        <f t="shared" si="53"/>
        <v/>
      </c>
      <c r="F699" s="19" t="str">
        <f t="shared" si="54"/>
        <v/>
      </c>
      <c r="G699" s="22" t="str">
        <f t="shared" si="55"/>
        <v/>
      </c>
      <c r="H699" s="13"/>
    </row>
    <row r="700" spans="1:8" ht="19.5" customHeight="1">
      <c r="A700" s="6"/>
      <c r="B700" s="26"/>
      <c r="C700" s="33"/>
      <c r="D700" s="7" t="str">
        <f t="shared" si="52"/>
        <v/>
      </c>
      <c r="E700" s="8" t="str">
        <f t="shared" si="53"/>
        <v/>
      </c>
      <c r="F700" s="18" t="str">
        <f t="shared" si="54"/>
        <v/>
      </c>
      <c r="G700" s="21" t="str">
        <f t="shared" si="55"/>
        <v/>
      </c>
      <c r="H700" s="9"/>
    </row>
    <row r="701" spans="1:8" ht="19.5" customHeight="1">
      <c r="A701" s="10"/>
      <c r="B701" s="27"/>
      <c r="C701" s="34"/>
      <c r="D701" s="11" t="str">
        <f t="shared" si="52"/>
        <v/>
      </c>
      <c r="E701" s="12" t="str">
        <f t="shared" si="53"/>
        <v/>
      </c>
      <c r="F701" s="19" t="str">
        <f t="shared" si="54"/>
        <v/>
      </c>
      <c r="G701" s="22" t="str">
        <f t="shared" si="55"/>
        <v/>
      </c>
      <c r="H701" s="13"/>
    </row>
    <row r="702" spans="1:8" ht="19.5" customHeight="1">
      <c r="A702" s="6"/>
      <c r="B702" s="26"/>
      <c r="C702" s="33"/>
      <c r="D702" s="7" t="str">
        <f t="shared" si="52"/>
        <v/>
      </c>
      <c r="E702" s="8" t="str">
        <f t="shared" si="53"/>
        <v/>
      </c>
      <c r="F702" s="18" t="str">
        <f t="shared" si="54"/>
        <v/>
      </c>
      <c r="G702" s="21" t="str">
        <f t="shared" si="55"/>
        <v/>
      </c>
      <c r="H702" s="9"/>
    </row>
    <row r="703" spans="1:8" ht="19.5" customHeight="1">
      <c r="A703" s="10"/>
      <c r="B703" s="27"/>
      <c r="C703" s="34"/>
      <c r="D703" s="11" t="str">
        <f t="shared" si="52"/>
        <v/>
      </c>
      <c r="E703" s="12" t="str">
        <f t="shared" si="53"/>
        <v/>
      </c>
      <c r="F703" s="19" t="str">
        <f t="shared" si="54"/>
        <v/>
      </c>
      <c r="G703" s="22" t="str">
        <f t="shared" si="55"/>
        <v/>
      </c>
      <c r="H703" s="13"/>
    </row>
    <row r="704" spans="1:8" ht="19.5" customHeight="1">
      <c r="A704" s="6"/>
      <c r="B704" s="26"/>
      <c r="C704" s="33"/>
      <c r="D704" s="7" t="str">
        <f t="shared" si="52"/>
        <v/>
      </c>
      <c r="E704" s="8" t="str">
        <f t="shared" si="53"/>
        <v/>
      </c>
      <c r="F704" s="18" t="str">
        <f t="shared" si="54"/>
        <v/>
      </c>
      <c r="G704" s="21" t="str">
        <f t="shared" si="55"/>
        <v/>
      </c>
      <c r="H704" s="9"/>
    </row>
    <row r="705" spans="1:8" ht="19.5" customHeight="1">
      <c r="A705" s="10"/>
      <c r="B705" s="27"/>
      <c r="C705" s="34"/>
      <c r="D705" s="11" t="str">
        <f t="shared" si="52"/>
        <v/>
      </c>
      <c r="E705" s="12" t="str">
        <f t="shared" si="53"/>
        <v/>
      </c>
      <c r="F705" s="19" t="str">
        <f t="shared" si="54"/>
        <v/>
      </c>
      <c r="G705" s="22" t="str">
        <f t="shared" si="55"/>
        <v/>
      </c>
      <c r="H705" s="13"/>
    </row>
    <row r="706" spans="1:8" ht="19.5" customHeight="1">
      <c r="A706" s="6"/>
      <c r="B706" s="26"/>
      <c r="C706" s="33"/>
      <c r="D706" s="7" t="str">
        <f t="shared" si="52"/>
        <v/>
      </c>
      <c r="E706" s="8" t="str">
        <f t="shared" si="53"/>
        <v/>
      </c>
      <c r="F706" s="18" t="str">
        <f t="shared" si="54"/>
        <v/>
      </c>
      <c r="G706" s="21" t="str">
        <f t="shared" si="55"/>
        <v/>
      </c>
      <c r="H706" s="9"/>
    </row>
    <row r="707" spans="1:8" ht="19.5" customHeight="1">
      <c r="A707" s="10"/>
      <c r="B707" s="27"/>
      <c r="C707" s="34"/>
      <c r="D707" s="11" t="str">
        <f t="shared" si="52"/>
        <v/>
      </c>
      <c r="E707" s="12" t="str">
        <f t="shared" si="53"/>
        <v/>
      </c>
      <c r="F707" s="19" t="str">
        <f t="shared" si="54"/>
        <v/>
      </c>
      <c r="G707" s="22" t="str">
        <f t="shared" si="55"/>
        <v/>
      </c>
      <c r="H707" s="13"/>
    </row>
    <row r="708" spans="1:8" ht="19.5" customHeight="1">
      <c r="A708" s="6"/>
      <c r="B708" s="26"/>
      <c r="C708" s="33"/>
      <c r="D708" s="7" t="str">
        <f t="shared" si="52"/>
        <v/>
      </c>
      <c r="E708" s="8" t="str">
        <f t="shared" si="53"/>
        <v/>
      </c>
      <c r="F708" s="18" t="str">
        <f t="shared" si="54"/>
        <v/>
      </c>
      <c r="G708" s="21" t="str">
        <f t="shared" si="55"/>
        <v/>
      </c>
      <c r="H708" s="9"/>
    </row>
    <row r="709" spans="1:8" ht="19.5" customHeight="1">
      <c r="A709" s="10"/>
      <c r="B709" s="27"/>
      <c r="C709" s="34"/>
      <c r="D709" s="11" t="str">
        <f t="shared" si="52"/>
        <v/>
      </c>
      <c r="E709" s="12" t="str">
        <f t="shared" si="53"/>
        <v/>
      </c>
      <c r="F709" s="19" t="str">
        <f t="shared" si="54"/>
        <v/>
      </c>
      <c r="G709" s="22" t="str">
        <f t="shared" si="55"/>
        <v/>
      </c>
      <c r="H709" s="13"/>
    </row>
    <row r="710" spans="1:8" ht="19.5" customHeight="1">
      <c r="A710" s="6"/>
      <c r="B710" s="26"/>
      <c r="C710" s="33"/>
      <c r="D710" s="7" t="str">
        <f t="shared" si="52"/>
        <v/>
      </c>
      <c r="E710" s="8" t="str">
        <f t="shared" si="53"/>
        <v/>
      </c>
      <c r="F710" s="18" t="str">
        <f t="shared" si="54"/>
        <v/>
      </c>
      <c r="G710" s="21" t="str">
        <f t="shared" si="55"/>
        <v/>
      </c>
      <c r="H710" s="9"/>
    </row>
    <row r="711" spans="1:8" ht="19.5" customHeight="1">
      <c r="A711" s="10"/>
      <c r="B711" s="27"/>
      <c r="C711" s="34"/>
      <c r="D711" s="11" t="str">
        <f t="shared" si="52"/>
        <v/>
      </c>
      <c r="E711" s="12" t="str">
        <f t="shared" si="53"/>
        <v/>
      </c>
      <c r="F711" s="19" t="str">
        <f t="shared" si="54"/>
        <v/>
      </c>
      <c r="G711" s="22" t="str">
        <f t="shared" si="55"/>
        <v/>
      </c>
      <c r="H711" s="13"/>
    </row>
    <row r="712" spans="1:8" ht="19.5" customHeight="1">
      <c r="A712" s="6"/>
      <c r="B712" s="26"/>
      <c r="C712" s="33"/>
      <c r="D712" s="7" t="str">
        <f t="shared" si="52"/>
        <v/>
      </c>
      <c r="E712" s="8" t="str">
        <f t="shared" si="53"/>
        <v/>
      </c>
      <c r="F712" s="18" t="str">
        <f t="shared" si="54"/>
        <v/>
      </c>
      <c r="G712" s="21" t="str">
        <f t="shared" si="55"/>
        <v/>
      </c>
      <c r="H712" s="9"/>
    </row>
    <row r="713" spans="1:8" ht="19.5" customHeight="1">
      <c r="A713" s="10"/>
      <c r="B713" s="27"/>
      <c r="C713" s="34"/>
      <c r="D713" s="11" t="str">
        <f t="shared" si="52"/>
        <v/>
      </c>
      <c r="E713" s="12" t="str">
        <f t="shared" si="53"/>
        <v/>
      </c>
      <c r="F713" s="19" t="str">
        <f t="shared" si="54"/>
        <v/>
      </c>
      <c r="G713" s="22" t="str">
        <f t="shared" si="55"/>
        <v/>
      </c>
      <c r="H713" s="13"/>
    </row>
    <row r="714" spans="1:8" ht="19.5" customHeight="1">
      <c r="A714" s="6"/>
      <c r="B714" s="26"/>
      <c r="C714" s="33"/>
      <c r="D714" s="7" t="str">
        <f t="shared" si="52"/>
        <v/>
      </c>
      <c r="E714" s="8" t="str">
        <f t="shared" si="53"/>
        <v/>
      </c>
      <c r="F714" s="18" t="str">
        <f t="shared" si="54"/>
        <v/>
      </c>
      <c r="G714" s="21" t="str">
        <f t="shared" si="55"/>
        <v/>
      </c>
      <c r="H714" s="9"/>
    </row>
    <row r="715" spans="1:8" ht="19.5" customHeight="1">
      <c r="A715" s="10"/>
      <c r="B715" s="27"/>
      <c r="C715" s="34"/>
      <c r="D715" s="11" t="str">
        <f t="shared" si="52"/>
        <v/>
      </c>
      <c r="E715" s="12" t="str">
        <f t="shared" si="53"/>
        <v/>
      </c>
      <c r="F715" s="19" t="str">
        <f t="shared" si="54"/>
        <v/>
      </c>
      <c r="G715" s="22" t="str">
        <f t="shared" si="55"/>
        <v/>
      </c>
      <c r="H715" s="13"/>
    </row>
    <row r="716" spans="1:8" ht="19.5" customHeight="1">
      <c r="A716" s="6"/>
      <c r="B716" s="26"/>
      <c r="C716" s="33"/>
      <c r="D716" s="7" t="str">
        <f t="shared" si="52"/>
        <v/>
      </c>
      <c r="E716" s="8" t="str">
        <f t="shared" si="53"/>
        <v/>
      </c>
      <c r="F716" s="18" t="str">
        <f t="shared" si="54"/>
        <v/>
      </c>
      <c r="G716" s="21" t="str">
        <f t="shared" si="55"/>
        <v/>
      </c>
      <c r="H716" s="9"/>
    </row>
    <row r="717" spans="1:8" ht="19.5" customHeight="1">
      <c r="A717" s="10"/>
      <c r="B717" s="27"/>
      <c r="C717" s="34"/>
      <c r="D717" s="11" t="str">
        <f t="shared" si="52"/>
        <v/>
      </c>
      <c r="E717" s="12" t="str">
        <f t="shared" si="53"/>
        <v/>
      </c>
      <c r="F717" s="19" t="str">
        <f t="shared" si="54"/>
        <v/>
      </c>
      <c r="G717" s="22" t="str">
        <f t="shared" si="55"/>
        <v/>
      </c>
      <c r="H717" s="13"/>
    </row>
    <row r="718" spans="1:8" ht="19.5" customHeight="1">
      <c r="A718" s="6"/>
      <c r="B718" s="26"/>
      <c r="C718" s="33"/>
      <c r="D718" s="7" t="str">
        <f t="shared" si="52"/>
        <v/>
      </c>
      <c r="E718" s="8" t="str">
        <f t="shared" si="53"/>
        <v/>
      </c>
      <c r="F718" s="18" t="str">
        <f t="shared" si="54"/>
        <v/>
      </c>
      <c r="G718" s="21" t="str">
        <f t="shared" si="55"/>
        <v/>
      </c>
      <c r="H718" s="9"/>
    </row>
    <row r="719" spans="1:8" ht="19.5" customHeight="1">
      <c r="A719" s="10"/>
      <c r="B719" s="27"/>
      <c r="C719" s="34"/>
      <c r="D719" s="11" t="str">
        <f t="shared" si="52"/>
        <v/>
      </c>
      <c r="E719" s="12" t="str">
        <f t="shared" si="53"/>
        <v/>
      </c>
      <c r="F719" s="19" t="str">
        <f t="shared" si="54"/>
        <v/>
      </c>
      <c r="G719" s="22" t="str">
        <f t="shared" si="55"/>
        <v/>
      </c>
      <c r="H719" s="13"/>
    </row>
    <row r="720" spans="1:8" ht="19.5" customHeight="1">
      <c r="A720" s="6"/>
      <c r="B720" s="26"/>
      <c r="C720" s="33"/>
      <c r="D720" s="7" t="str">
        <f t="shared" si="52"/>
        <v/>
      </c>
      <c r="E720" s="8" t="str">
        <f t="shared" si="53"/>
        <v/>
      </c>
      <c r="F720" s="18" t="str">
        <f t="shared" si="54"/>
        <v/>
      </c>
      <c r="G720" s="21" t="str">
        <f t="shared" si="55"/>
        <v/>
      </c>
      <c r="H720" s="9"/>
    </row>
    <row r="721" spans="1:8" ht="19.5" customHeight="1">
      <c r="A721" s="10"/>
      <c r="B721" s="27"/>
      <c r="C721" s="34"/>
      <c r="D721" s="11" t="str">
        <f t="shared" si="52"/>
        <v/>
      </c>
      <c r="E721" s="12" t="str">
        <f t="shared" si="53"/>
        <v/>
      </c>
      <c r="F721" s="19" t="str">
        <f t="shared" si="54"/>
        <v/>
      </c>
      <c r="G721" s="22" t="str">
        <f t="shared" si="55"/>
        <v/>
      </c>
      <c r="H721" s="13"/>
    </row>
    <row r="722" spans="1:8" ht="19.5" customHeight="1">
      <c r="A722" s="6"/>
      <c r="B722" s="26"/>
      <c r="C722" s="33"/>
      <c r="D722" s="7" t="str">
        <f t="shared" si="52"/>
        <v/>
      </c>
      <c r="E722" s="8" t="str">
        <f t="shared" si="53"/>
        <v/>
      </c>
      <c r="F722" s="18" t="str">
        <f t="shared" si="54"/>
        <v/>
      </c>
      <c r="G722" s="21" t="str">
        <f t="shared" si="55"/>
        <v/>
      </c>
      <c r="H722" s="9"/>
    </row>
    <row r="723" spans="1:8" ht="19.5" customHeight="1">
      <c r="A723" s="10"/>
      <c r="B723" s="27"/>
      <c r="C723" s="34"/>
      <c r="D723" s="11" t="str">
        <f t="shared" si="52"/>
        <v/>
      </c>
      <c r="E723" s="12" t="str">
        <f t="shared" si="53"/>
        <v/>
      </c>
      <c r="F723" s="19" t="str">
        <f t="shared" si="54"/>
        <v/>
      </c>
      <c r="G723" s="22" t="str">
        <f t="shared" si="55"/>
        <v/>
      </c>
      <c r="H723" s="13"/>
    </row>
    <row r="724" spans="1:8" ht="19.5" customHeight="1">
      <c r="A724" s="6"/>
      <c r="B724" s="26"/>
      <c r="C724" s="33"/>
      <c r="D724" s="7" t="str">
        <f t="shared" ref="D724:D787" si="56">IF(C724="","",C724*$B$1)</f>
        <v/>
      </c>
      <c r="E724" s="8" t="str">
        <f t="shared" ref="E724:E787" si="57">IF(C724="","",C724-D724)</f>
        <v/>
      </c>
      <c r="F724" s="18" t="str">
        <f t="shared" ref="F724:F787" si="58">IF(OR(B724="",C724=""),"",E724-B724)</f>
        <v/>
      </c>
      <c r="G724" s="21" t="str">
        <f t="shared" ref="G724:G787" si="59">IF(OR(B724="",B724=0),"",F724/B724)</f>
        <v/>
      </c>
      <c r="H724" s="9"/>
    </row>
    <row r="725" spans="1:8" ht="19.5" customHeight="1">
      <c r="A725" s="10"/>
      <c r="B725" s="27"/>
      <c r="C725" s="34"/>
      <c r="D725" s="11" t="str">
        <f t="shared" si="56"/>
        <v/>
      </c>
      <c r="E725" s="12" t="str">
        <f t="shared" si="57"/>
        <v/>
      </c>
      <c r="F725" s="19" t="str">
        <f t="shared" si="58"/>
        <v/>
      </c>
      <c r="G725" s="22" t="str">
        <f t="shared" si="59"/>
        <v/>
      </c>
      <c r="H725" s="13"/>
    </row>
    <row r="726" spans="1:8" ht="19.5" customHeight="1">
      <c r="A726" s="6"/>
      <c r="B726" s="26"/>
      <c r="C726" s="33"/>
      <c r="D726" s="7" t="str">
        <f t="shared" si="56"/>
        <v/>
      </c>
      <c r="E726" s="8" t="str">
        <f t="shared" si="57"/>
        <v/>
      </c>
      <c r="F726" s="18" t="str">
        <f t="shared" si="58"/>
        <v/>
      </c>
      <c r="G726" s="21" t="str">
        <f t="shared" si="59"/>
        <v/>
      </c>
      <c r="H726" s="9"/>
    </row>
    <row r="727" spans="1:8" ht="19.5" customHeight="1">
      <c r="A727" s="10"/>
      <c r="B727" s="27"/>
      <c r="C727" s="34"/>
      <c r="D727" s="11" t="str">
        <f t="shared" si="56"/>
        <v/>
      </c>
      <c r="E727" s="12" t="str">
        <f t="shared" si="57"/>
        <v/>
      </c>
      <c r="F727" s="19" t="str">
        <f t="shared" si="58"/>
        <v/>
      </c>
      <c r="G727" s="22" t="str">
        <f t="shared" si="59"/>
        <v/>
      </c>
      <c r="H727" s="13"/>
    </row>
    <row r="728" spans="1:8" ht="19.5" customHeight="1">
      <c r="A728" s="6"/>
      <c r="B728" s="26"/>
      <c r="C728" s="33"/>
      <c r="D728" s="7" t="str">
        <f t="shared" si="56"/>
        <v/>
      </c>
      <c r="E728" s="8" t="str">
        <f t="shared" si="57"/>
        <v/>
      </c>
      <c r="F728" s="18" t="str">
        <f t="shared" si="58"/>
        <v/>
      </c>
      <c r="G728" s="21" t="str">
        <f t="shared" si="59"/>
        <v/>
      </c>
      <c r="H728" s="9"/>
    </row>
    <row r="729" spans="1:8" ht="19.5" customHeight="1">
      <c r="A729" s="10"/>
      <c r="B729" s="27"/>
      <c r="C729" s="34"/>
      <c r="D729" s="11" t="str">
        <f t="shared" si="56"/>
        <v/>
      </c>
      <c r="E729" s="12" t="str">
        <f t="shared" si="57"/>
        <v/>
      </c>
      <c r="F729" s="19" t="str">
        <f t="shared" si="58"/>
        <v/>
      </c>
      <c r="G729" s="22" t="str">
        <f t="shared" si="59"/>
        <v/>
      </c>
      <c r="H729" s="13"/>
    </row>
    <row r="730" spans="1:8" ht="19.5" customHeight="1">
      <c r="A730" s="6"/>
      <c r="B730" s="26"/>
      <c r="C730" s="33"/>
      <c r="D730" s="7" t="str">
        <f t="shared" si="56"/>
        <v/>
      </c>
      <c r="E730" s="8" t="str">
        <f t="shared" si="57"/>
        <v/>
      </c>
      <c r="F730" s="18" t="str">
        <f t="shared" si="58"/>
        <v/>
      </c>
      <c r="G730" s="21" t="str">
        <f t="shared" si="59"/>
        <v/>
      </c>
      <c r="H730" s="9"/>
    </row>
    <row r="731" spans="1:8" ht="19.5" customHeight="1">
      <c r="A731" s="10"/>
      <c r="B731" s="27"/>
      <c r="C731" s="34"/>
      <c r="D731" s="11" t="str">
        <f t="shared" si="56"/>
        <v/>
      </c>
      <c r="E731" s="12" t="str">
        <f t="shared" si="57"/>
        <v/>
      </c>
      <c r="F731" s="19" t="str">
        <f t="shared" si="58"/>
        <v/>
      </c>
      <c r="G731" s="22" t="str">
        <f t="shared" si="59"/>
        <v/>
      </c>
      <c r="H731" s="13"/>
    </row>
    <row r="732" spans="1:8" ht="19.5" customHeight="1">
      <c r="A732" s="6"/>
      <c r="B732" s="26"/>
      <c r="C732" s="33"/>
      <c r="D732" s="7" t="str">
        <f t="shared" si="56"/>
        <v/>
      </c>
      <c r="E732" s="8" t="str">
        <f t="shared" si="57"/>
        <v/>
      </c>
      <c r="F732" s="18" t="str">
        <f t="shared" si="58"/>
        <v/>
      </c>
      <c r="G732" s="21" t="str">
        <f t="shared" si="59"/>
        <v/>
      </c>
      <c r="H732" s="9"/>
    </row>
    <row r="733" spans="1:8" ht="19.5" customHeight="1">
      <c r="A733" s="10"/>
      <c r="B733" s="27"/>
      <c r="C733" s="34"/>
      <c r="D733" s="11" t="str">
        <f t="shared" si="56"/>
        <v/>
      </c>
      <c r="E733" s="12" t="str">
        <f t="shared" si="57"/>
        <v/>
      </c>
      <c r="F733" s="19" t="str">
        <f t="shared" si="58"/>
        <v/>
      </c>
      <c r="G733" s="22" t="str">
        <f t="shared" si="59"/>
        <v/>
      </c>
      <c r="H733" s="13"/>
    </row>
    <row r="734" spans="1:8" ht="19.5" customHeight="1">
      <c r="A734" s="6"/>
      <c r="B734" s="26"/>
      <c r="C734" s="33"/>
      <c r="D734" s="7" t="str">
        <f t="shared" si="56"/>
        <v/>
      </c>
      <c r="E734" s="8" t="str">
        <f t="shared" si="57"/>
        <v/>
      </c>
      <c r="F734" s="18" t="str">
        <f t="shared" si="58"/>
        <v/>
      </c>
      <c r="G734" s="21" t="str">
        <f t="shared" si="59"/>
        <v/>
      </c>
      <c r="H734" s="9"/>
    </row>
    <row r="735" spans="1:8" ht="19.5" customHeight="1">
      <c r="A735" s="10"/>
      <c r="B735" s="27"/>
      <c r="C735" s="34"/>
      <c r="D735" s="11" t="str">
        <f t="shared" si="56"/>
        <v/>
      </c>
      <c r="E735" s="12" t="str">
        <f t="shared" si="57"/>
        <v/>
      </c>
      <c r="F735" s="19" t="str">
        <f t="shared" si="58"/>
        <v/>
      </c>
      <c r="G735" s="22" t="str">
        <f t="shared" si="59"/>
        <v/>
      </c>
      <c r="H735" s="13"/>
    </row>
    <row r="736" spans="1:8" ht="19.5" customHeight="1">
      <c r="A736" s="6"/>
      <c r="B736" s="26"/>
      <c r="C736" s="33"/>
      <c r="D736" s="7" t="str">
        <f t="shared" si="56"/>
        <v/>
      </c>
      <c r="E736" s="8" t="str">
        <f t="shared" si="57"/>
        <v/>
      </c>
      <c r="F736" s="18" t="str">
        <f t="shared" si="58"/>
        <v/>
      </c>
      <c r="G736" s="21" t="str">
        <f t="shared" si="59"/>
        <v/>
      </c>
      <c r="H736" s="9"/>
    </row>
    <row r="737" spans="1:8" ht="19.5" customHeight="1">
      <c r="A737" s="10"/>
      <c r="B737" s="27"/>
      <c r="C737" s="34"/>
      <c r="D737" s="11" t="str">
        <f t="shared" si="56"/>
        <v/>
      </c>
      <c r="E737" s="12" t="str">
        <f t="shared" si="57"/>
        <v/>
      </c>
      <c r="F737" s="19" t="str">
        <f t="shared" si="58"/>
        <v/>
      </c>
      <c r="G737" s="22" t="str">
        <f t="shared" si="59"/>
        <v/>
      </c>
      <c r="H737" s="13"/>
    </row>
    <row r="738" spans="1:8" ht="19.5" customHeight="1">
      <c r="A738" s="6"/>
      <c r="B738" s="26"/>
      <c r="C738" s="33"/>
      <c r="D738" s="7" t="str">
        <f t="shared" si="56"/>
        <v/>
      </c>
      <c r="E738" s="8" t="str">
        <f t="shared" si="57"/>
        <v/>
      </c>
      <c r="F738" s="18" t="str">
        <f t="shared" si="58"/>
        <v/>
      </c>
      <c r="G738" s="21" t="str">
        <f t="shared" si="59"/>
        <v/>
      </c>
      <c r="H738" s="9"/>
    </row>
    <row r="739" spans="1:8" ht="19.5" customHeight="1">
      <c r="A739" s="10"/>
      <c r="B739" s="27"/>
      <c r="C739" s="34"/>
      <c r="D739" s="11" t="str">
        <f t="shared" si="56"/>
        <v/>
      </c>
      <c r="E739" s="12" t="str">
        <f t="shared" si="57"/>
        <v/>
      </c>
      <c r="F739" s="19" t="str">
        <f t="shared" si="58"/>
        <v/>
      </c>
      <c r="G739" s="22" t="str">
        <f t="shared" si="59"/>
        <v/>
      </c>
      <c r="H739" s="13"/>
    </row>
    <row r="740" spans="1:8" ht="19.5" customHeight="1">
      <c r="A740" s="6"/>
      <c r="B740" s="26"/>
      <c r="C740" s="33"/>
      <c r="D740" s="7" t="str">
        <f t="shared" si="56"/>
        <v/>
      </c>
      <c r="E740" s="8" t="str">
        <f t="shared" si="57"/>
        <v/>
      </c>
      <c r="F740" s="18" t="str">
        <f t="shared" si="58"/>
        <v/>
      </c>
      <c r="G740" s="21" t="str">
        <f t="shared" si="59"/>
        <v/>
      </c>
      <c r="H740" s="9"/>
    </row>
    <row r="741" spans="1:8" ht="19.5" customHeight="1">
      <c r="A741" s="10"/>
      <c r="B741" s="27"/>
      <c r="C741" s="34"/>
      <c r="D741" s="11" t="str">
        <f t="shared" si="56"/>
        <v/>
      </c>
      <c r="E741" s="12" t="str">
        <f t="shared" si="57"/>
        <v/>
      </c>
      <c r="F741" s="19" t="str">
        <f t="shared" si="58"/>
        <v/>
      </c>
      <c r="G741" s="22" t="str">
        <f t="shared" si="59"/>
        <v/>
      </c>
      <c r="H741" s="13"/>
    </row>
    <row r="742" spans="1:8" ht="19.5" customHeight="1">
      <c r="A742" s="6"/>
      <c r="B742" s="26"/>
      <c r="C742" s="33"/>
      <c r="D742" s="7" t="str">
        <f t="shared" si="56"/>
        <v/>
      </c>
      <c r="E742" s="8" t="str">
        <f t="shared" si="57"/>
        <v/>
      </c>
      <c r="F742" s="18" t="str">
        <f t="shared" si="58"/>
        <v/>
      </c>
      <c r="G742" s="21" t="str">
        <f t="shared" si="59"/>
        <v/>
      </c>
      <c r="H742" s="9"/>
    </row>
    <row r="743" spans="1:8" ht="19.5" customHeight="1">
      <c r="A743" s="10"/>
      <c r="B743" s="27"/>
      <c r="C743" s="34"/>
      <c r="D743" s="11" t="str">
        <f t="shared" si="56"/>
        <v/>
      </c>
      <c r="E743" s="12" t="str">
        <f t="shared" si="57"/>
        <v/>
      </c>
      <c r="F743" s="19" t="str">
        <f t="shared" si="58"/>
        <v/>
      </c>
      <c r="G743" s="22" t="str">
        <f t="shared" si="59"/>
        <v/>
      </c>
      <c r="H743" s="13"/>
    </row>
    <row r="744" spans="1:8" ht="19.5" customHeight="1">
      <c r="A744" s="6"/>
      <c r="B744" s="26"/>
      <c r="C744" s="33"/>
      <c r="D744" s="7" t="str">
        <f t="shared" si="56"/>
        <v/>
      </c>
      <c r="E744" s="8" t="str">
        <f t="shared" si="57"/>
        <v/>
      </c>
      <c r="F744" s="18" t="str">
        <f t="shared" si="58"/>
        <v/>
      </c>
      <c r="G744" s="21" t="str">
        <f t="shared" si="59"/>
        <v/>
      </c>
      <c r="H744" s="9"/>
    </row>
    <row r="745" spans="1:8" ht="19.5" customHeight="1">
      <c r="A745" s="10"/>
      <c r="B745" s="27"/>
      <c r="C745" s="34"/>
      <c r="D745" s="11" t="str">
        <f t="shared" si="56"/>
        <v/>
      </c>
      <c r="E745" s="12" t="str">
        <f t="shared" si="57"/>
        <v/>
      </c>
      <c r="F745" s="19" t="str">
        <f t="shared" si="58"/>
        <v/>
      </c>
      <c r="G745" s="22" t="str">
        <f t="shared" si="59"/>
        <v/>
      </c>
      <c r="H745" s="13"/>
    </row>
    <row r="746" spans="1:8" ht="19.5" customHeight="1">
      <c r="A746" s="6"/>
      <c r="B746" s="26"/>
      <c r="C746" s="33"/>
      <c r="D746" s="7" t="str">
        <f t="shared" si="56"/>
        <v/>
      </c>
      <c r="E746" s="8" t="str">
        <f t="shared" si="57"/>
        <v/>
      </c>
      <c r="F746" s="18" t="str">
        <f t="shared" si="58"/>
        <v/>
      </c>
      <c r="G746" s="21" t="str">
        <f t="shared" si="59"/>
        <v/>
      </c>
      <c r="H746" s="9"/>
    </row>
    <row r="747" spans="1:8" ht="19.5" customHeight="1">
      <c r="A747" s="10"/>
      <c r="B747" s="27"/>
      <c r="C747" s="34"/>
      <c r="D747" s="11" t="str">
        <f t="shared" si="56"/>
        <v/>
      </c>
      <c r="E747" s="12" t="str">
        <f t="shared" si="57"/>
        <v/>
      </c>
      <c r="F747" s="19" t="str">
        <f t="shared" si="58"/>
        <v/>
      </c>
      <c r="G747" s="22" t="str">
        <f t="shared" si="59"/>
        <v/>
      </c>
      <c r="H747" s="13"/>
    </row>
    <row r="748" spans="1:8" ht="19.5" customHeight="1">
      <c r="A748" s="6"/>
      <c r="B748" s="26"/>
      <c r="C748" s="33"/>
      <c r="D748" s="7" t="str">
        <f t="shared" si="56"/>
        <v/>
      </c>
      <c r="E748" s="8" t="str">
        <f t="shared" si="57"/>
        <v/>
      </c>
      <c r="F748" s="18" t="str">
        <f t="shared" si="58"/>
        <v/>
      </c>
      <c r="G748" s="21" t="str">
        <f t="shared" si="59"/>
        <v/>
      </c>
      <c r="H748" s="9"/>
    </row>
    <row r="749" spans="1:8" ht="19.5" customHeight="1">
      <c r="A749" s="10"/>
      <c r="B749" s="27"/>
      <c r="C749" s="34"/>
      <c r="D749" s="11" t="str">
        <f t="shared" si="56"/>
        <v/>
      </c>
      <c r="E749" s="12" t="str">
        <f t="shared" si="57"/>
        <v/>
      </c>
      <c r="F749" s="19" t="str">
        <f t="shared" si="58"/>
        <v/>
      </c>
      <c r="G749" s="22" t="str">
        <f t="shared" si="59"/>
        <v/>
      </c>
      <c r="H749" s="13"/>
    </row>
    <row r="750" spans="1:8" ht="19.5" customHeight="1">
      <c r="A750" s="6"/>
      <c r="B750" s="26"/>
      <c r="C750" s="33"/>
      <c r="D750" s="7" t="str">
        <f t="shared" si="56"/>
        <v/>
      </c>
      <c r="E750" s="8" t="str">
        <f t="shared" si="57"/>
        <v/>
      </c>
      <c r="F750" s="18" t="str">
        <f t="shared" si="58"/>
        <v/>
      </c>
      <c r="G750" s="21" t="str">
        <f t="shared" si="59"/>
        <v/>
      </c>
      <c r="H750" s="9"/>
    </row>
    <row r="751" spans="1:8" ht="19.5" customHeight="1">
      <c r="A751" s="10"/>
      <c r="B751" s="27"/>
      <c r="C751" s="34"/>
      <c r="D751" s="11" t="str">
        <f t="shared" si="56"/>
        <v/>
      </c>
      <c r="E751" s="12" t="str">
        <f t="shared" si="57"/>
        <v/>
      </c>
      <c r="F751" s="19" t="str">
        <f t="shared" si="58"/>
        <v/>
      </c>
      <c r="G751" s="22" t="str">
        <f t="shared" si="59"/>
        <v/>
      </c>
      <c r="H751" s="13"/>
    </row>
    <row r="752" spans="1:8" ht="19.5" customHeight="1">
      <c r="A752" s="6"/>
      <c r="B752" s="26"/>
      <c r="C752" s="33"/>
      <c r="D752" s="7" t="str">
        <f t="shared" si="56"/>
        <v/>
      </c>
      <c r="E752" s="8" t="str">
        <f t="shared" si="57"/>
        <v/>
      </c>
      <c r="F752" s="18" t="str">
        <f t="shared" si="58"/>
        <v/>
      </c>
      <c r="G752" s="21" t="str">
        <f t="shared" si="59"/>
        <v/>
      </c>
      <c r="H752" s="9"/>
    </row>
    <row r="753" spans="1:8" ht="19.5" customHeight="1">
      <c r="A753" s="10"/>
      <c r="B753" s="27"/>
      <c r="C753" s="34"/>
      <c r="D753" s="11" t="str">
        <f t="shared" si="56"/>
        <v/>
      </c>
      <c r="E753" s="12" t="str">
        <f t="shared" si="57"/>
        <v/>
      </c>
      <c r="F753" s="19" t="str">
        <f t="shared" si="58"/>
        <v/>
      </c>
      <c r="G753" s="22" t="str">
        <f t="shared" si="59"/>
        <v/>
      </c>
      <c r="H753" s="13"/>
    </row>
    <row r="754" spans="1:8" ht="19.5" customHeight="1">
      <c r="A754" s="6"/>
      <c r="B754" s="26"/>
      <c r="C754" s="33"/>
      <c r="D754" s="7" t="str">
        <f t="shared" si="56"/>
        <v/>
      </c>
      <c r="E754" s="8" t="str">
        <f t="shared" si="57"/>
        <v/>
      </c>
      <c r="F754" s="18" t="str">
        <f t="shared" si="58"/>
        <v/>
      </c>
      <c r="G754" s="21" t="str">
        <f t="shared" si="59"/>
        <v/>
      </c>
      <c r="H754" s="9"/>
    </row>
    <row r="755" spans="1:8" ht="19.5" customHeight="1">
      <c r="A755" s="10"/>
      <c r="B755" s="27"/>
      <c r="C755" s="34"/>
      <c r="D755" s="11" t="str">
        <f t="shared" si="56"/>
        <v/>
      </c>
      <c r="E755" s="12" t="str">
        <f t="shared" si="57"/>
        <v/>
      </c>
      <c r="F755" s="19" t="str">
        <f t="shared" si="58"/>
        <v/>
      </c>
      <c r="G755" s="22" t="str">
        <f t="shared" si="59"/>
        <v/>
      </c>
      <c r="H755" s="13"/>
    </row>
    <row r="756" spans="1:8" ht="19.5" customHeight="1">
      <c r="A756" s="6"/>
      <c r="B756" s="26"/>
      <c r="C756" s="33"/>
      <c r="D756" s="7" t="str">
        <f t="shared" si="56"/>
        <v/>
      </c>
      <c r="E756" s="8" t="str">
        <f t="shared" si="57"/>
        <v/>
      </c>
      <c r="F756" s="18" t="str">
        <f t="shared" si="58"/>
        <v/>
      </c>
      <c r="G756" s="21" t="str">
        <f t="shared" si="59"/>
        <v/>
      </c>
      <c r="H756" s="9"/>
    </row>
    <row r="757" spans="1:8" ht="19.5" customHeight="1">
      <c r="A757" s="10"/>
      <c r="B757" s="27"/>
      <c r="C757" s="34"/>
      <c r="D757" s="11" t="str">
        <f t="shared" si="56"/>
        <v/>
      </c>
      <c r="E757" s="12" t="str">
        <f t="shared" si="57"/>
        <v/>
      </c>
      <c r="F757" s="19" t="str">
        <f t="shared" si="58"/>
        <v/>
      </c>
      <c r="G757" s="22" t="str">
        <f t="shared" si="59"/>
        <v/>
      </c>
      <c r="H757" s="13"/>
    </row>
    <row r="758" spans="1:8" ht="19.5" customHeight="1">
      <c r="A758" s="6"/>
      <c r="B758" s="26"/>
      <c r="C758" s="33"/>
      <c r="D758" s="7" t="str">
        <f t="shared" si="56"/>
        <v/>
      </c>
      <c r="E758" s="8" t="str">
        <f t="shared" si="57"/>
        <v/>
      </c>
      <c r="F758" s="18" t="str">
        <f t="shared" si="58"/>
        <v/>
      </c>
      <c r="G758" s="21" t="str">
        <f t="shared" si="59"/>
        <v/>
      </c>
      <c r="H758" s="9"/>
    </row>
    <row r="759" spans="1:8" ht="19.5" customHeight="1">
      <c r="A759" s="10"/>
      <c r="B759" s="27"/>
      <c r="C759" s="34"/>
      <c r="D759" s="11" t="str">
        <f t="shared" si="56"/>
        <v/>
      </c>
      <c r="E759" s="12" t="str">
        <f t="shared" si="57"/>
        <v/>
      </c>
      <c r="F759" s="19" t="str">
        <f t="shared" si="58"/>
        <v/>
      </c>
      <c r="G759" s="22" t="str">
        <f t="shared" si="59"/>
        <v/>
      </c>
      <c r="H759" s="13"/>
    </row>
    <row r="760" spans="1:8" ht="19.5" customHeight="1">
      <c r="A760" s="6"/>
      <c r="B760" s="26"/>
      <c r="C760" s="33"/>
      <c r="D760" s="7" t="str">
        <f t="shared" si="56"/>
        <v/>
      </c>
      <c r="E760" s="8" t="str">
        <f t="shared" si="57"/>
        <v/>
      </c>
      <c r="F760" s="18" t="str">
        <f t="shared" si="58"/>
        <v/>
      </c>
      <c r="G760" s="21" t="str">
        <f t="shared" si="59"/>
        <v/>
      </c>
      <c r="H760" s="9"/>
    </row>
    <row r="761" spans="1:8" ht="19.5" customHeight="1">
      <c r="A761" s="10"/>
      <c r="B761" s="27"/>
      <c r="C761" s="34"/>
      <c r="D761" s="11" t="str">
        <f t="shared" si="56"/>
        <v/>
      </c>
      <c r="E761" s="12" t="str">
        <f t="shared" si="57"/>
        <v/>
      </c>
      <c r="F761" s="19" t="str">
        <f t="shared" si="58"/>
        <v/>
      </c>
      <c r="G761" s="22" t="str">
        <f t="shared" si="59"/>
        <v/>
      </c>
      <c r="H761" s="13"/>
    </row>
    <row r="762" spans="1:8" ht="19.5" customHeight="1">
      <c r="A762" s="6"/>
      <c r="B762" s="26"/>
      <c r="C762" s="33"/>
      <c r="D762" s="7" t="str">
        <f t="shared" si="56"/>
        <v/>
      </c>
      <c r="E762" s="8" t="str">
        <f t="shared" si="57"/>
        <v/>
      </c>
      <c r="F762" s="18" t="str">
        <f t="shared" si="58"/>
        <v/>
      </c>
      <c r="G762" s="21" t="str">
        <f t="shared" si="59"/>
        <v/>
      </c>
      <c r="H762" s="9"/>
    </row>
    <row r="763" spans="1:8" ht="19.5" customHeight="1">
      <c r="A763" s="10"/>
      <c r="B763" s="27"/>
      <c r="C763" s="34"/>
      <c r="D763" s="11" t="str">
        <f t="shared" si="56"/>
        <v/>
      </c>
      <c r="E763" s="12" t="str">
        <f t="shared" si="57"/>
        <v/>
      </c>
      <c r="F763" s="19" t="str">
        <f t="shared" si="58"/>
        <v/>
      </c>
      <c r="G763" s="22" t="str">
        <f t="shared" si="59"/>
        <v/>
      </c>
      <c r="H763" s="13"/>
    </row>
    <row r="764" spans="1:8" ht="19.5" customHeight="1">
      <c r="A764" s="6"/>
      <c r="B764" s="26"/>
      <c r="C764" s="33"/>
      <c r="D764" s="7" t="str">
        <f t="shared" si="56"/>
        <v/>
      </c>
      <c r="E764" s="8" t="str">
        <f t="shared" si="57"/>
        <v/>
      </c>
      <c r="F764" s="18" t="str">
        <f t="shared" si="58"/>
        <v/>
      </c>
      <c r="G764" s="21" t="str">
        <f t="shared" si="59"/>
        <v/>
      </c>
      <c r="H764" s="9"/>
    </row>
    <row r="765" spans="1:8" ht="19.5" customHeight="1">
      <c r="A765" s="10"/>
      <c r="B765" s="27"/>
      <c r="C765" s="34"/>
      <c r="D765" s="11" t="str">
        <f t="shared" si="56"/>
        <v/>
      </c>
      <c r="E765" s="12" t="str">
        <f t="shared" si="57"/>
        <v/>
      </c>
      <c r="F765" s="19" t="str">
        <f t="shared" si="58"/>
        <v/>
      </c>
      <c r="G765" s="22" t="str">
        <f t="shared" si="59"/>
        <v/>
      </c>
      <c r="H765" s="13"/>
    </row>
    <row r="766" spans="1:8" ht="19.5" customHeight="1">
      <c r="A766" s="6"/>
      <c r="B766" s="26"/>
      <c r="C766" s="33"/>
      <c r="D766" s="7" t="str">
        <f t="shared" si="56"/>
        <v/>
      </c>
      <c r="E766" s="8" t="str">
        <f t="shared" si="57"/>
        <v/>
      </c>
      <c r="F766" s="18" t="str">
        <f t="shared" si="58"/>
        <v/>
      </c>
      <c r="G766" s="21" t="str">
        <f t="shared" si="59"/>
        <v/>
      </c>
      <c r="H766" s="9"/>
    </row>
    <row r="767" spans="1:8" ht="19.5" customHeight="1">
      <c r="A767" s="10"/>
      <c r="B767" s="27"/>
      <c r="C767" s="34"/>
      <c r="D767" s="11" t="str">
        <f t="shared" si="56"/>
        <v/>
      </c>
      <c r="E767" s="12" t="str">
        <f t="shared" si="57"/>
        <v/>
      </c>
      <c r="F767" s="19" t="str">
        <f t="shared" si="58"/>
        <v/>
      </c>
      <c r="G767" s="22" t="str">
        <f t="shared" si="59"/>
        <v/>
      </c>
      <c r="H767" s="13"/>
    </row>
    <row r="768" spans="1:8" ht="19.5" customHeight="1">
      <c r="A768" s="6"/>
      <c r="B768" s="26"/>
      <c r="C768" s="33"/>
      <c r="D768" s="7" t="str">
        <f t="shared" si="56"/>
        <v/>
      </c>
      <c r="E768" s="8" t="str">
        <f t="shared" si="57"/>
        <v/>
      </c>
      <c r="F768" s="18" t="str">
        <f t="shared" si="58"/>
        <v/>
      </c>
      <c r="G768" s="21" t="str">
        <f t="shared" si="59"/>
        <v/>
      </c>
      <c r="H768" s="9"/>
    </row>
    <row r="769" spans="1:8" ht="19.5" customHeight="1">
      <c r="A769" s="10"/>
      <c r="B769" s="27"/>
      <c r="C769" s="34"/>
      <c r="D769" s="11" t="str">
        <f t="shared" si="56"/>
        <v/>
      </c>
      <c r="E769" s="12" t="str">
        <f t="shared" si="57"/>
        <v/>
      </c>
      <c r="F769" s="19" t="str">
        <f t="shared" si="58"/>
        <v/>
      </c>
      <c r="G769" s="22" t="str">
        <f t="shared" si="59"/>
        <v/>
      </c>
      <c r="H769" s="13"/>
    </row>
    <row r="770" spans="1:8" ht="19.5" customHeight="1">
      <c r="A770" s="6"/>
      <c r="B770" s="26"/>
      <c r="C770" s="33"/>
      <c r="D770" s="7" t="str">
        <f t="shared" si="56"/>
        <v/>
      </c>
      <c r="E770" s="8" t="str">
        <f t="shared" si="57"/>
        <v/>
      </c>
      <c r="F770" s="18" t="str">
        <f t="shared" si="58"/>
        <v/>
      </c>
      <c r="G770" s="21" t="str">
        <f t="shared" si="59"/>
        <v/>
      </c>
      <c r="H770" s="9"/>
    </row>
    <row r="771" spans="1:8" ht="19.5" customHeight="1">
      <c r="A771" s="10"/>
      <c r="B771" s="27"/>
      <c r="C771" s="34"/>
      <c r="D771" s="11" t="str">
        <f t="shared" si="56"/>
        <v/>
      </c>
      <c r="E771" s="12" t="str">
        <f t="shared" si="57"/>
        <v/>
      </c>
      <c r="F771" s="19" t="str">
        <f t="shared" si="58"/>
        <v/>
      </c>
      <c r="G771" s="22" t="str">
        <f t="shared" si="59"/>
        <v/>
      </c>
      <c r="H771" s="13"/>
    </row>
    <row r="772" spans="1:8" ht="19.5" customHeight="1">
      <c r="A772" s="6"/>
      <c r="B772" s="26"/>
      <c r="C772" s="33"/>
      <c r="D772" s="7" t="str">
        <f t="shared" si="56"/>
        <v/>
      </c>
      <c r="E772" s="8" t="str">
        <f t="shared" si="57"/>
        <v/>
      </c>
      <c r="F772" s="18" t="str">
        <f t="shared" si="58"/>
        <v/>
      </c>
      <c r="G772" s="21" t="str">
        <f t="shared" si="59"/>
        <v/>
      </c>
      <c r="H772" s="9"/>
    </row>
    <row r="773" spans="1:8" ht="19.5" customHeight="1">
      <c r="A773" s="10"/>
      <c r="B773" s="27"/>
      <c r="C773" s="34"/>
      <c r="D773" s="11" t="str">
        <f t="shared" si="56"/>
        <v/>
      </c>
      <c r="E773" s="12" t="str">
        <f t="shared" si="57"/>
        <v/>
      </c>
      <c r="F773" s="19" t="str">
        <f t="shared" si="58"/>
        <v/>
      </c>
      <c r="G773" s="22" t="str">
        <f t="shared" si="59"/>
        <v/>
      </c>
      <c r="H773" s="13"/>
    </row>
    <row r="774" spans="1:8" ht="19.5" customHeight="1">
      <c r="A774" s="6"/>
      <c r="B774" s="26"/>
      <c r="C774" s="33"/>
      <c r="D774" s="7" t="str">
        <f t="shared" si="56"/>
        <v/>
      </c>
      <c r="E774" s="8" t="str">
        <f t="shared" si="57"/>
        <v/>
      </c>
      <c r="F774" s="18" t="str">
        <f t="shared" si="58"/>
        <v/>
      </c>
      <c r="G774" s="21" t="str">
        <f t="shared" si="59"/>
        <v/>
      </c>
      <c r="H774" s="9"/>
    </row>
    <row r="775" spans="1:8" ht="19.5" customHeight="1">
      <c r="A775" s="10"/>
      <c r="B775" s="27"/>
      <c r="C775" s="34"/>
      <c r="D775" s="11" t="str">
        <f t="shared" si="56"/>
        <v/>
      </c>
      <c r="E775" s="12" t="str">
        <f t="shared" si="57"/>
        <v/>
      </c>
      <c r="F775" s="19" t="str">
        <f t="shared" si="58"/>
        <v/>
      </c>
      <c r="G775" s="22" t="str">
        <f t="shared" si="59"/>
        <v/>
      </c>
      <c r="H775" s="13"/>
    </row>
    <row r="776" spans="1:8" ht="19.5" customHeight="1">
      <c r="A776" s="6"/>
      <c r="B776" s="26"/>
      <c r="C776" s="33"/>
      <c r="D776" s="7" t="str">
        <f t="shared" si="56"/>
        <v/>
      </c>
      <c r="E776" s="8" t="str">
        <f t="shared" si="57"/>
        <v/>
      </c>
      <c r="F776" s="18" t="str">
        <f t="shared" si="58"/>
        <v/>
      </c>
      <c r="G776" s="21" t="str">
        <f t="shared" si="59"/>
        <v/>
      </c>
      <c r="H776" s="9"/>
    </row>
    <row r="777" spans="1:8" ht="19.5" customHeight="1">
      <c r="A777" s="10"/>
      <c r="B777" s="27"/>
      <c r="C777" s="34"/>
      <c r="D777" s="11" t="str">
        <f t="shared" si="56"/>
        <v/>
      </c>
      <c r="E777" s="12" t="str">
        <f t="shared" si="57"/>
        <v/>
      </c>
      <c r="F777" s="19" t="str">
        <f t="shared" si="58"/>
        <v/>
      </c>
      <c r="G777" s="22" t="str">
        <f t="shared" si="59"/>
        <v/>
      </c>
      <c r="H777" s="13"/>
    </row>
    <row r="778" spans="1:8" ht="19.5" customHeight="1">
      <c r="A778" s="6"/>
      <c r="B778" s="26"/>
      <c r="C778" s="33"/>
      <c r="D778" s="7" t="str">
        <f t="shared" si="56"/>
        <v/>
      </c>
      <c r="E778" s="8" t="str">
        <f t="shared" si="57"/>
        <v/>
      </c>
      <c r="F778" s="18" t="str">
        <f t="shared" si="58"/>
        <v/>
      </c>
      <c r="G778" s="21" t="str">
        <f t="shared" si="59"/>
        <v/>
      </c>
      <c r="H778" s="9"/>
    </row>
    <row r="779" spans="1:8" ht="19.5" customHeight="1">
      <c r="A779" s="10"/>
      <c r="B779" s="27"/>
      <c r="C779" s="34"/>
      <c r="D779" s="11" t="str">
        <f t="shared" si="56"/>
        <v/>
      </c>
      <c r="E779" s="12" t="str">
        <f t="shared" si="57"/>
        <v/>
      </c>
      <c r="F779" s="19" t="str">
        <f t="shared" si="58"/>
        <v/>
      </c>
      <c r="G779" s="22" t="str">
        <f t="shared" si="59"/>
        <v/>
      </c>
      <c r="H779" s="13"/>
    </row>
    <row r="780" spans="1:8" ht="19.5" customHeight="1">
      <c r="A780" s="6"/>
      <c r="B780" s="26"/>
      <c r="C780" s="33"/>
      <c r="D780" s="7" t="str">
        <f t="shared" si="56"/>
        <v/>
      </c>
      <c r="E780" s="8" t="str">
        <f t="shared" si="57"/>
        <v/>
      </c>
      <c r="F780" s="18" t="str">
        <f t="shared" si="58"/>
        <v/>
      </c>
      <c r="G780" s="21" t="str">
        <f t="shared" si="59"/>
        <v/>
      </c>
      <c r="H780" s="9"/>
    </row>
    <row r="781" spans="1:8" ht="19.5" customHeight="1">
      <c r="A781" s="10"/>
      <c r="B781" s="27"/>
      <c r="C781" s="34"/>
      <c r="D781" s="11" t="str">
        <f t="shared" si="56"/>
        <v/>
      </c>
      <c r="E781" s="12" t="str">
        <f t="shared" si="57"/>
        <v/>
      </c>
      <c r="F781" s="19" t="str">
        <f t="shared" si="58"/>
        <v/>
      </c>
      <c r="G781" s="22" t="str">
        <f t="shared" si="59"/>
        <v/>
      </c>
      <c r="H781" s="13"/>
    </row>
    <row r="782" spans="1:8" ht="19.5" customHeight="1">
      <c r="A782" s="6"/>
      <c r="B782" s="26"/>
      <c r="C782" s="33"/>
      <c r="D782" s="7" t="str">
        <f t="shared" si="56"/>
        <v/>
      </c>
      <c r="E782" s="8" t="str">
        <f t="shared" si="57"/>
        <v/>
      </c>
      <c r="F782" s="18" t="str">
        <f t="shared" si="58"/>
        <v/>
      </c>
      <c r="G782" s="21" t="str">
        <f t="shared" si="59"/>
        <v/>
      </c>
      <c r="H782" s="9"/>
    </row>
    <row r="783" spans="1:8" ht="19.5" customHeight="1">
      <c r="A783" s="10"/>
      <c r="B783" s="27"/>
      <c r="C783" s="34"/>
      <c r="D783" s="11" t="str">
        <f t="shared" si="56"/>
        <v/>
      </c>
      <c r="E783" s="12" t="str">
        <f t="shared" si="57"/>
        <v/>
      </c>
      <c r="F783" s="19" t="str">
        <f t="shared" si="58"/>
        <v/>
      </c>
      <c r="G783" s="22" t="str">
        <f t="shared" si="59"/>
        <v/>
      </c>
      <c r="H783" s="13"/>
    </row>
    <row r="784" spans="1:8" ht="19.5" customHeight="1">
      <c r="A784" s="6"/>
      <c r="B784" s="26"/>
      <c r="C784" s="33"/>
      <c r="D784" s="7" t="str">
        <f t="shared" si="56"/>
        <v/>
      </c>
      <c r="E784" s="8" t="str">
        <f t="shared" si="57"/>
        <v/>
      </c>
      <c r="F784" s="18" t="str">
        <f t="shared" si="58"/>
        <v/>
      </c>
      <c r="G784" s="21" t="str">
        <f t="shared" si="59"/>
        <v/>
      </c>
      <c r="H784" s="9"/>
    </row>
    <row r="785" spans="1:8" ht="19.5" customHeight="1">
      <c r="A785" s="10"/>
      <c r="B785" s="27"/>
      <c r="C785" s="34"/>
      <c r="D785" s="11" t="str">
        <f t="shared" si="56"/>
        <v/>
      </c>
      <c r="E785" s="12" t="str">
        <f t="shared" si="57"/>
        <v/>
      </c>
      <c r="F785" s="19" t="str">
        <f t="shared" si="58"/>
        <v/>
      </c>
      <c r="G785" s="22" t="str">
        <f t="shared" si="59"/>
        <v/>
      </c>
      <c r="H785" s="13"/>
    </row>
    <row r="786" spans="1:8" ht="19.5" customHeight="1">
      <c r="A786" s="6"/>
      <c r="B786" s="26"/>
      <c r="C786" s="33"/>
      <c r="D786" s="7" t="str">
        <f t="shared" si="56"/>
        <v/>
      </c>
      <c r="E786" s="8" t="str">
        <f t="shared" si="57"/>
        <v/>
      </c>
      <c r="F786" s="18" t="str">
        <f t="shared" si="58"/>
        <v/>
      </c>
      <c r="G786" s="21" t="str">
        <f t="shared" si="59"/>
        <v/>
      </c>
      <c r="H786" s="9"/>
    </row>
    <row r="787" spans="1:8" ht="19.5" customHeight="1">
      <c r="A787" s="10"/>
      <c r="B787" s="27"/>
      <c r="C787" s="34"/>
      <c r="D787" s="11" t="str">
        <f t="shared" si="56"/>
        <v/>
      </c>
      <c r="E787" s="12" t="str">
        <f t="shared" si="57"/>
        <v/>
      </c>
      <c r="F787" s="19" t="str">
        <f t="shared" si="58"/>
        <v/>
      </c>
      <c r="G787" s="22" t="str">
        <f t="shared" si="59"/>
        <v/>
      </c>
      <c r="H787" s="13"/>
    </row>
    <row r="788" spans="1:8" ht="19.5" customHeight="1">
      <c r="A788" s="6"/>
      <c r="B788" s="26"/>
      <c r="C788" s="33"/>
      <c r="D788" s="7" t="str">
        <f t="shared" ref="D788:D851" si="60">IF(C788="","",C788*$B$1)</f>
        <v/>
      </c>
      <c r="E788" s="8" t="str">
        <f t="shared" ref="E788:E851" si="61">IF(C788="","",C788-D788)</f>
        <v/>
      </c>
      <c r="F788" s="18" t="str">
        <f t="shared" ref="F788:F851" si="62">IF(OR(B788="",C788=""),"",E788-B788)</f>
        <v/>
      </c>
      <c r="G788" s="21" t="str">
        <f t="shared" ref="G788:G851" si="63">IF(OR(B788="",B788=0),"",F788/B788)</f>
        <v/>
      </c>
      <c r="H788" s="9"/>
    </row>
    <row r="789" spans="1:8" ht="19.5" customHeight="1">
      <c r="A789" s="10"/>
      <c r="B789" s="27"/>
      <c r="C789" s="34"/>
      <c r="D789" s="11" t="str">
        <f t="shared" si="60"/>
        <v/>
      </c>
      <c r="E789" s="12" t="str">
        <f t="shared" si="61"/>
        <v/>
      </c>
      <c r="F789" s="19" t="str">
        <f t="shared" si="62"/>
        <v/>
      </c>
      <c r="G789" s="22" t="str">
        <f t="shared" si="63"/>
        <v/>
      </c>
      <c r="H789" s="13"/>
    </row>
    <row r="790" spans="1:8" ht="19.5" customHeight="1">
      <c r="A790" s="6"/>
      <c r="B790" s="26"/>
      <c r="C790" s="33"/>
      <c r="D790" s="7" t="str">
        <f t="shared" si="60"/>
        <v/>
      </c>
      <c r="E790" s="8" t="str">
        <f t="shared" si="61"/>
        <v/>
      </c>
      <c r="F790" s="18" t="str">
        <f t="shared" si="62"/>
        <v/>
      </c>
      <c r="G790" s="21" t="str">
        <f t="shared" si="63"/>
        <v/>
      </c>
      <c r="H790" s="9"/>
    </row>
    <row r="791" spans="1:8" ht="19.5" customHeight="1">
      <c r="A791" s="10"/>
      <c r="B791" s="27"/>
      <c r="C791" s="34"/>
      <c r="D791" s="11" t="str">
        <f t="shared" si="60"/>
        <v/>
      </c>
      <c r="E791" s="12" t="str">
        <f t="shared" si="61"/>
        <v/>
      </c>
      <c r="F791" s="19" t="str">
        <f t="shared" si="62"/>
        <v/>
      </c>
      <c r="G791" s="22" t="str">
        <f t="shared" si="63"/>
        <v/>
      </c>
      <c r="H791" s="13"/>
    </row>
    <row r="792" spans="1:8" ht="19.5" customHeight="1">
      <c r="A792" s="6"/>
      <c r="B792" s="26"/>
      <c r="C792" s="33"/>
      <c r="D792" s="7" t="str">
        <f t="shared" si="60"/>
        <v/>
      </c>
      <c r="E792" s="8" t="str">
        <f t="shared" si="61"/>
        <v/>
      </c>
      <c r="F792" s="18" t="str">
        <f t="shared" si="62"/>
        <v/>
      </c>
      <c r="G792" s="21" t="str">
        <f t="shared" si="63"/>
        <v/>
      </c>
      <c r="H792" s="9"/>
    </row>
    <row r="793" spans="1:8" ht="19.5" customHeight="1">
      <c r="A793" s="10"/>
      <c r="B793" s="27"/>
      <c r="C793" s="34"/>
      <c r="D793" s="11" t="str">
        <f t="shared" si="60"/>
        <v/>
      </c>
      <c r="E793" s="12" t="str">
        <f t="shared" si="61"/>
        <v/>
      </c>
      <c r="F793" s="19" t="str">
        <f t="shared" si="62"/>
        <v/>
      </c>
      <c r="G793" s="22" t="str">
        <f t="shared" si="63"/>
        <v/>
      </c>
      <c r="H793" s="13"/>
    </row>
    <row r="794" spans="1:8" ht="19.5" customHeight="1">
      <c r="A794" s="6"/>
      <c r="B794" s="26"/>
      <c r="C794" s="33"/>
      <c r="D794" s="7" t="str">
        <f t="shared" si="60"/>
        <v/>
      </c>
      <c r="E794" s="8" t="str">
        <f t="shared" si="61"/>
        <v/>
      </c>
      <c r="F794" s="18" t="str">
        <f t="shared" si="62"/>
        <v/>
      </c>
      <c r="G794" s="21" t="str">
        <f t="shared" si="63"/>
        <v/>
      </c>
      <c r="H794" s="9"/>
    </row>
    <row r="795" spans="1:8" ht="19.5" customHeight="1">
      <c r="A795" s="10"/>
      <c r="B795" s="27"/>
      <c r="C795" s="34"/>
      <c r="D795" s="11" t="str">
        <f t="shared" si="60"/>
        <v/>
      </c>
      <c r="E795" s="12" t="str">
        <f t="shared" si="61"/>
        <v/>
      </c>
      <c r="F795" s="19" t="str">
        <f t="shared" si="62"/>
        <v/>
      </c>
      <c r="G795" s="22" t="str">
        <f t="shared" si="63"/>
        <v/>
      </c>
      <c r="H795" s="13"/>
    </row>
    <row r="796" spans="1:8" ht="19.5" customHeight="1">
      <c r="A796" s="6"/>
      <c r="B796" s="26"/>
      <c r="C796" s="33"/>
      <c r="D796" s="7" t="str">
        <f t="shared" si="60"/>
        <v/>
      </c>
      <c r="E796" s="8" t="str">
        <f t="shared" si="61"/>
        <v/>
      </c>
      <c r="F796" s="18" t="str">
        <f t="shared" si="62"/>
        <v/>
      </c>
      <c r="G796" s="21" t="str">
        <f t="shared" si="63"/>
        <v/>
      </c>
      <c r="H796" s="9"/>
    </row>
    <row r="797" spans="1:8" ht="19.5" customHeight="1">
      <c r="A797" s="10"/>
      <c r="B797" s="27"/>
      <c r="C797" s="34"/>
      <c r="D797" s="11" t="str">
        <f t="shared" si="60"/>
        <v/>
      </c>
      <c r="E797" s="12" t="str">
        <f t="shared" si="61"/>
        <v/>
      </c>
      <c r="F797" s="19" t="str">
        <f t="shared" si="62"/>
        <v/>
      </c>
      <c r="G797" s="22" t="str">
        <f t="shared" si="63"/>
        <v/>
      </c>
      <c r="H797" s="13"/>
    </row>
    <row r="798" spans="1:8" ht="19.5" customHeight="1">
      <c r="A798" s="6"/>
      <c r="B798" s="26"/>
      <c r="C798" s="33"/>
      <c r="D798" s="7" t="str">
        <f t="shared" si="60"/>
        <v/>
      </c>
      <c r="E798" s="8" t="str">
        <f t="shared" si="61"/>
        <v/>
      </c>
      <c r="F798" s="18" t="str">
        <f t="shared" si="62"/>
        <v/>
      </c>
      <c r="G798" s="21" t="str">
        <f t="shared" si="63"/>
        <v/>
      </c>
      <c r="H798" s="9"/>
    </row>
    <row r="799" spans="1:8" ht="19.5" customHeight="1">
      <c r="A799" s="10"/>
      <c r="B799" s="27"/>
      <c r="C799" s="34"/>
      <c r="D799" s="11" t="str">
        <f t="shared" si="60"/>
        <v/>
      </c>
      <c r="E799" s="12" t="str">
        <f t="shared" si="61"/>
        <v/>
      </c>
      <c r="F799" s="19" t="str">
        <f t="shared" si="62"/>
        <v/>
      </c>
      <c r="G799" s="22" t="str">
        <f t="shared" si="63"/>
        <v/>
      </c>
      <c r="H799" s="13"/>
    </row>
    <row r="800" spans="1:8" ht="19.5" customHeight="1">
      <c r="A800" s="6"/>
      <c r="B800" s="26"/>
      <c r="C800" s="33"/>
      <c r="D800" s="7" t="str">
        <f t="shared" si="60"/>
        <v/>
      </c>
      <c r="E800" s="8" t="str">
        <f t="shared" si="61"/>
        <v/>
      </c>
      <c r="F800" s="18" t="str">
        <f t="shared" si="62"/>
        <v/>
      </c>
      <c r="G800" s="21" t="str">
        <f t="shared" si="63"/>
        <v/>
      </c>
      <c r="H800" s="9"/>
    </row>
    <row r="801" spans="1:8" ht="19.5" customHeight="1">
      <c r="A801" s="10"/>
      <c r="B801" s="27"/>
      <c r="C801" s="34"/>
      <c r="D801" s="11" t="str">
        <f t="shared" si="60"/>
        <v/>
      </c>
      <c r="E801" s="12" t="str">
        <f t="shared" si="61"/>
        <v/>
      </c>
      <c r="F801" s="19" t="str">
        <f t="shared" si="62"/>
        <v/>
      </c>
      <c r="G801" s="22" t="str">
        <f t="shared" si="63"/>
        <v/>
      </c>
      <c r="H801" s="13"/>
    </row>
    <row r="802" spans="1:8" ht="19.5" customHeight="1">
      <c r="A802" s="6"/>
      <c r="B802" s="26"/>
      <c r="C802" s="33"/>
      <c r="D802" s="7" t="str">
        <f t="shared" si="60"/>
        <v/>
      </c>
      <c r="E802" s="8" t="str">
        <f t="shared" si="61"/>
        <v/>
      </c>
      <c r="F802" s="18" t="str">
        <f t="shared" si="62"/>
        <v/>
      </c>
      <c r="G802" s="21" t="str">
        <f t="shared" si="63"/>
        <v/>
      </c>
      <c r="H802" s="9"/>
    </row>
    <row r="803" spans="1:8" ht="19.5" customHeight="1">
      <c r="A803" s="10"/>
      <c r="B803" s="27"/>
      <c r="C803" s="34"/>
      <c r="D803" s="11" t="str">
        <f t="shared" si="60"/>
        <v/>
      </c>
      <c r="E803" s="12" t="str">
        <f t="shared" si="61"/>
        <v/>
      </c>
      <c r="F803" s="19" t="str">
        <f t="shared" si="62"/>
        <v/>
      </c>
      <c r="G803" s="22" t="str">
        <f t="shared" si="63"/>
        <v/>
      </c>
      <c r="H803" s="13"/>
    </row>
    <row r="804" spans="1:8" ht="19.5" customHeight="1">
      <c r="A804" s="6"/>
      <c r="B804" s="26"/>
      <c r="C804" s="33"/>
      <c r="D804" s="7" t="str">
        <f t="shared" si="60"/>
        <v/>
      </c>
      <c r="E804" s="8" t="str">
        <f t="shared" si="61"/>
        <v/>
      </c>
      <c r="F804" s="18" t="str">
        <f t="shared" si="62"/>
        <v/>
      </c>
      <c r="G804" s="21" t="str">
        <f t="shared" si="63"/>
        <v/>
      </c>
      <c r="H804" s="9"/>
    </row>
    <row r="805" spans="1:8" ht="19.5" customHeight="1">
      <c r="A805" s="10"/>
      <c r="B805" s="27"/>
      <c r="C805" s="34"/>
      <c r="D805" s="11" t="str">
        <f t="shared" si="60"/>
        <v/>
      </c>
      <c r="E805" s="12" t="str">
        <f t="shared" si="61"/>
        <v/>
      </c>
      <c r="F805" s="19" t="str">
        <f t="shared" si="62"/>
        <v/>
      </c>
      <c r="G805" s="22" t="str">
        <f t="shared" si="63"/>
        <v/>
      </c>
      <c r="H805" s="13"/>
    </row>
    <row r="806" spans="1:8" ht="19.5" customHeight="1">
      <c r="A806" s="6"/>
      <c r="B806" s="26"/>
      <c r="C806" s="33"/>
      <c r="D806" s="7" t="str">
        <f t="shared" si="60"/>
        <v/>
      </c>
      <c r="E806" s="8" t="str">
        <f t="shared" si="61"/>
        <v/>
      </c>
      <c r="F806" s="18" t="str">
        <f t="shared" si="62"/>
        <v/>
      </c>
      <c r="G806" s="21" t="str">
        <f t="shared" si="63"/>
        <v/>
      </c>
      <c r="H806" s="9"/>
    </row>
    <row r="807" spans="1:8" ht="19.5" customHeight="1">
      <c r="A807" s="10"/>
      <c r="B807" s="27"/>
      <c r="C807" s="34"/>
      <c r="D807" s="11" t="str">
        <f t="shared" si="60"/>
        <v/>
      </c>
      <c r="E807" s="12" t="str">
        <f t="shared" si="61"/>
        <v/>
      </c>
      <c r="F807" s="19" t="str">
        <f t="shared" si="62"/>
        <v/>
      </c>
      <c r="G807" s="22" t="str">
        <f t="shared" si="63"/>
        <v/>
      </c>
      <c r="H807" s="13"/>
    </row>
    <row r="808" spans="1:8" ht="19.5" customHeight="1">
      <c r="A808" s="6"/>
      <c r="B808" s="26"/>
      <c r="C808" s="33"/>
      <c r="D808" s="7" t="str">
        <f t="shared" si="60"/>
        <v/>
      </c>
      <c r="E808" s="8" t="str">
        <f t="shared" si="61"/>
        <v/>
      </c>
      <c r="F808" s="18" t="str">
        <f t="shared" si="62"/>
        <v/>
      </c>
      <c r="G808" s="21" t="str">
        <f t="shared" si="63"/>
        <v/>
      </c>
      <c r="H808" s="9"/>
    </row>
    <row r="809" spans="1:8" ht="19.5" customHeight="1">
      <c r="A809" s="10"/>
      <c r="B809" s="27"/>
      <c r="C809" s="34"/>
      <c r="D809" s="11" t="str">
        <f t="shared" si="60"/>
        <v/>
      </c>
      <c r="E809" s="12" t="str">
        <f t="shared" si="61"/>
        <v/>
      </c>
      <c r="F809" s="19" t="str">
        <f t="shared" si="62"/>
        <v/>
      </c>
      <c r="G809" s="22" t="str">
        <f t="shared" si="63"/>
        <v/>
      </c>
      <c r="H809" s="13"/>
    </row>
    <row r="810" spans="1:8" ht="19.5" customHeight="1">
      <c r="A810" s="6"/>
      <c r="B810" s="26"/>
      <c r="C810" s="33"/>
      <c r="D810" s="7" t="str">
        <f t="shared" si="60"/>
        <v/>
      </c>
      <c r="E810" s="8" t="str">
        <f t="shared" si="61"/>
        <v/>
      </c>
      <c r="F810" s="18" t="str">
        <f t="shared" si="62"/>
        <v/>
      </c>
      <c r="G810" s="21" t="str">
        <f t="shared" si="63"/>
        <v/>
      </c>
      <c r="H810" s="9"/>
    </row>
    <row r="811" spans="1:8" ht="19.5" customHeight="1">
      <c r="A811" s="10"/>
      <c r="B811" s="27"/>
      <c r="C811" s="34"/>
      <c r="D811" s="11" t="str">
        <f t="shared" si="60"/>
        <v/>
      </c>
      <c r="E811" s="12" t="str">
        <f t="shared" si="61"/>
        <v/>
      </c>
      <c r="F811" s="19" t="str">
        <f t="shared" si="62"/>
        <v/>
      </c>
      <c r="G811" s="22" t="str">
        <f t="shared" si="63"/>
        <v/>
      </c>
      <c r="H811" s="13"/>
    </row>
    <row r="812" spans="1:8" ht="19.5" customHeight="1">
      <c r="A812" s="6"/>
      <c r="B812" s="26"/>
      <c r="C812" s="33"/>
      <c r="D812" s="7" t="str">
        <f t="shared" si="60"/>
        <v/>
      </c>
      <c r="E812" s="8" t="str">
        <f t="shared" si="61"/>
        <v/>
      </c>
      <c r="F812" s="18" t="str">
        <f t="shared" si="62"/>
        <v/>
      </c>
      <c r="G812" s="21" t="str">
        <f t="shared" si="63"/>
        <v/>
      </c>
      <c r="H812" s="9"/>
    </row>
    <row r="813" spans="1:8" ht="19.5" customHeight="1">
      <c r="A813" s="10"/>
      <c r="B813" s="27"/>
      <c r="C813" s="34"/>
      <c r="D813" s="11" t="str">
        <f t="shared" si="60"/>
        <v/>
      </c>
      <c r="E813" s="12" t="str">
        <f t="shared" si="61"/>
        <v/>
      </c>
      <c r="F813" s="19" t="str">
        <f t="shared" si="62"/>
        <v/>
      </c>
      <c r="G813" s="22" t="str">
        <f t="shared" si="63"/>
        <v/>
      </c>
      <c r="H813" s="13"/>
    </row>
    <row r="814" spans="1:8" ht="19.5" customHeight="1">
      <c r="A814" s="6"/>
      <c r="B814" s="26"/>
      <c r="C814" s="33"/>
      <c r="D814" s="7" t="str">
        <f t="shared" si="60"/>
        <v/>
      </c>
      <c r="E814" s="8" t="str">
        <f t="shared" si="61"/>
        <v/>
      </c>
      <c r="F814" s="18" t="str">
        <f t="shared" si="62"/>
        <v/>
      </c>
      <c r="G814" s="21" t="str">
        <f t="shared" si="63"/>
        <v/>
      </c>
      <c r="H814" s="9"/>
    </row>
    <row r="815" spans="1:8" ht="19.5" customHeight="1">
      <c r="A815" s="10"/>
      <c r="B815" s="27"/>
      <c r="C815" s="34"/>
      <c r="D815" s="11" t="str">
        <f t="shared" si="60"/>
        <v/>
      </c>
      <c r="E815" s="12" t="str">
        <f t="shared" si="61"/>
        <v/>
      </c>
      <c r="F815" s="19" t="str">
        <f t="shared" si="62"/>
        <v/>
      </c>
      <c r="G815" s="22" t="str">
        <f t="shared" si="63"/>
        <v/>
      </c>
      <c r="H815" s="13"/>
    </row>
    <row r="816" spans="1:8" ht="19.5" customHeight="1">
      <c r="A816" s="6"/>
      <c r="B816" s="26"/>
      <c r="C816" s="33"/>
      <c r="D816" s="7" t="str">
        <f t="shared" si="60"/>
        <v/>
      </c>
      <c r="E816" s="8" t="str">
        <f t="shared" si="61"/>
        <v/>
      </c>
      <c r="F816" s="18" t="str">
        <f t="shared" si="62"/>
        <v/>
      </c>
      <c r="G816" s="21" t="str">
        <f t="shared" si="63"/>
        <v/>
      </c>
      <c r="H816" s="9"/>
    </row>
    <row r="817" spans="1:8" ht="19.5" customHeight="1">
      <c r="A817" s="10"/>
      <c r="B817" s="27"/>
      <c r="C817" s="34"/>
      <c r="D817" s="11" t="str">
        <f t="shared" si="60"/>
        <v/>
      </c>
      <c r="E817" s="12" t="str">
        <f t="shared" si="61"/>
        <v/>
      </c>
      <c r="F817" s="19" t="str">
        <f t="shared" si="62"/>
        <v/>
      </c>
      <c r="G817" s="22" t="str">
        <f t="shared" si="63"/>
        <v/>
      </c>
      <c r="H817" s="13"/>
    </row>
    <row r="818" spans="1:8" ht="19.5" customHeight="1">
      <c r="A818" s="6"/>
      <c r="B818" s="26"/>
      <c r="C818" s="33"/>
      <c r="D818" s="7" t="str">
        <f t="shared" si="60"/>
        <v/>
      </c>
      <c r="E818" s="8" t="str">
        <f t="shared" si="61"/>
        <v/>
      </c>
      <c r="F818" s="18" t="str">
        <f t="shared" si="62"/>
        <v/>
      </c>
      <c r="G818" s="21" t="str">
        <f t="shared" si="63"/>
        <v/>
      </c>
      <c r="H818" s="9"/>
    </row>
    <row r="819" spans="1:8" ht="19.5" customHeight="1">
      <c r="A819" s="10"/>
      <c r="B819" s="27"/>
      <c r="C819" s="34"/>
      <c r="D819" s="11" t="str">
        <f t="shared" si="60"/>
        <v/>
      </c>
      <c r="E819" s="12" t="str">
        <f t="shared" si="61"/>
        <v/>
      </c>
      <c r="F819" s="19" t="str">
        <f t="shared" si="62"/>
        <v/>
      </c>
      <c r="G819" s="22" t="str">
        <f t="shared" si="63"/>
        <v/>
      </c>
      <c r="H819" s="13"/>
    </row>
    <row r="820" spans="1:8" ht="19.5" customHeight="1">
      <c r="A820" s="6"/>
      <c r="B820" s="26"/>
      <c r="C820" s="33"/>
      <c r="D820" s="7" t="str">
        <f t="shared" si="60"/>
        <v/>
      </c>
      <c r="E820" s="8" t="str">
        <f t="shared" si="61"/>
        <v/>
      </c>
      <c r="F820" s="18" t="str">
        <f t="shared" si="62"/>
        <v/>
      </c>
      <c r="G820" s="21" t="str">
        <f t="shared" si="63"/>
        <v/>
      </c>
      <c r="H820" s="9"/>
    </row>
    <row r="821" spans="1:8" ht="19.5" customHeight="1">
      <c r="A821" s="10"/>
      <c r="B821" s="27"/>
      <c r="C821" s="34"/>
      <c r="D821" s="11" t="str">
        <f t="shared" si="60"/>
        <v/>
      </c>
      <c r="E821" s="12" t="str">
        <f t="shared" si="61"/>
        <v/>
      </c>
      <c r="F821" s="19" t="str">
        <f t="shared" si="62"/>
        <v/>
      </c>
      <c r="G821" s="22" t="str">
        <f t="shared" si="63"/>
        <v/>
      </c>
      <c r="H821" s="13"/>
    </row>
    <row r="822" spans="1:8" ht="19.5" customHeight="1">
      <c r="A822" s="6"/>
      <c r="B822" s="26"/>
      <c r="C822" s="33"/>
      <c r="D822" s="7" t="str">
        <f t="shared" si="60"/>
        <v/>
      </c>
      <c r="E822" s="8" t="str">
        <f t="shared" si="61"/>
        <v/>
      </c>
      <c r="F822" s="18" t="str">
        <f t="shared" si="62"/>
        <v/>
      </c>
      <c r="G822" s="21" t="str">
        <f t="shared" si="63"/>
        <v/>
      </c>
      <c r="H822" s="9"/>
    </row>
    <row r="823" spans="1:8" ht="19.5" customHeight="1">
      <c r="A823" s="10"/>
      <c r="B823" s="27"/>
      <c r="C823" s="34"/>
      <c r="D823" s="11" t="str">
        <f t="shared" si="60"/>
        <v/>
      </c>
      <c r="E823" s="12" t="str">
        <f t="shared" si="61"/>
        <v/>
      </c>
      <c r="F823" s="19" t="str">
        <f t="shared" si="62"/>
        <v/>
      </c>
      <c r="G823" s="22" t="str">
        <f t="shared" si="63"/>
        <v/>
      </c>
      <c r="H823" s="13"/>
    </row>
    <row r="824" spans="1:8" ht="19.5" customHeight="1">
      <c r="A824" s="6"/>
      <c r="B824" s="26"/>
      <c r="C824" s="33"/>
      <c r="D824" s="7" t="str">
        <f t="shared" si="60"/>
        <v/>
      </c>
      <c r="E824" s="8" t="str">
        <f t="shared" si="61"/>
        <v/>
      </c>
      <c r="F824" s="18" t="str">
        <f t="shared" si="62"/>
        <v/>
      </c>
      <c r="G824" s="21" t="str">
        <f t="shared" si="63"/>
        <v/>
      </c>
      <c r="H824" s="9"/>
    </row>
    <row r="825" spans="1:8" ht="19.5" customHeight="1">
      <c r="A825" s="10"/>
      <c r="B825" s="27"/>
      <c r="C825" s="34"/>
      <c r="D825" s="11" t="str">
        <f t="shared" si="60"/>
        <v/>
      </c>
      <c r="E825" s="12" t="str">
        <f t="shared" si="61"/>
        <v/>
      </c>
      <c r="F825" s="19" t="str">
        <f t="shared" si="62"/>
        <v/>
      </c>
      <c r="G825" s="22" t="str">
        <f t="shared" si="63"/>
        <v/>
      </c>
      <c r="H825" s="13"/>
    </row>
    <row r="826" spans="1:8" ht="19.5" customHeight="1">
      <c r="A826" s="6"/>
      <c r="B826" s="26"/>
      <c r="C826" s="33"/>
      <c r="D826" s="7" t="str">
        <f t="shared" si="60"/>
        <v/>
      </c>
      <c r="E826" s="8" t="str">
        <f t="shared" si="61"/>
        <v/>
      </c>
      <c r="F826" s="18" t="str">
        <f t="shared" si="62"/>
        <v/>
      </c>
      <c r="G826" s="21" t="str">
        <f t="shared" si="63"/>
        <v/>
      </c>
      <c r="H826" s="9"/>
    </row>
    <row r="827" spans="1:8" ht="19.5" customHeight="1">
      <c r="A827" s="10"/>
      <c r="B827" s="27"/>
      <c r="C827" s="34"/>
      <c r="D827" s="11" t="str">
        <f t="shared" si="60"/>
        <v/>
      </c>
      <c r="E827" s="12" t="str">
        <f t="shared" si="61"/>
        <v/>
      </c>
      <c r="F827" s="19" t="str">
        <f t="shared" si="62"/>
        <v/>
      </c>
      <c r="G827" s="22" t="str">
        <f t="shared" si="63"/>
        <v/>
      </c>
      <c r="H827" s="13"/>
    </row>
    <row r="828" spans="1:8" ht="19.5" customHeight="1">
      <c r="A828" s="6"/>
      <c r="B828" s="26"/>
      <c r="C828" s="33"/>
      <c r="D828" s="7" t="str">
        <f t="shared" si="60"/>
        <v/>
      </c>
      <c r="E828" s="8" t="str">
        <f t="shared" si="61"/>
        <v/>
      </c>
      <c r="F828" s="18" t="str">
        <f t="shared" si="62"/>
        <v/>
      </c>
      <c r="G828" s="21" t="str">
        <f t="shared" si="63"/>
        <v/>
      </c>
      <c r="H828" s="9"/>
    </row>
    <row r="829" spans="1:8" ht="19.5" customHeight="1">
      <c r="A829" s="10"/>
      <c r="B829" s="27"/>
      <c r="C829" s="34"/>
      <c r="D829" s="11" t="str">
        <f t="shared" si="60"/>
        <v/>
      </c>
      <c r="E829" s="12" t="str">
        <f t="shared" si="61"/>
        <v/>
      </c>
      <c r="F829" s="19" t="str">
        <f t="shared" si="62"/>
        <v/>
      </c>
      <c r="G829" s="22" t="str">
        <f t="shared" si="63"/>
        <v/>
      </c>
      <c r="H829" s="13"/>
    </row>
    <row r="830" spans="1:8" ht="19.5" customHeight="1">
      <c r="A830" s="6"/>
      <c r="B830" s="26"/>
      <c r="C830" s="33"/>
      <c r="D830" s="7" t="str">
        <f t="shared" si="60"/>
        <v/>
      </c>
      <c r="E830" s="8" t="str">
        <f t="shared" si="61"/>
        <v/>
      </c>
      <c r="F830" s="18" t="str">
        <f t="shared" si="62"/>
        <v/>
      </c>
      <c r="G830" s="21" t="str">
        <f t="shared" si="63"/>
        <v/>
      </c>
      <c r="H830" s="9"/>
    </row>
    <row r="831" spans="1:8" ht="19.5" customHeight="1">
      <c r="A831" s="10"/>
      <c r="B831" s="27"/>
      <c r="C831" s="34"/>
      <c r="D831" s="11" t="str">
        <f t="shared" si="60"/>
        <v/>
      </c>
      <c r="E831" s="12" t="str">
        <f t="shared" si="61"/>
        <v/>
      </c>
      <c r="F831" s="19" t="str">
        <f t="shared" si="62"/>
        <v/>
      </c>
      <c r="G831" s="22" t="str">
        <f t="shared" si="63"/>
        <v/>
      </c>
      <c r="H831" s="13"/>
    </row>
    <row r="832" spans="1:8" ht="19.5" customHeight="1">
      <c r="A832" s="6"/>
      <c r="B832" s="26"/>
      <c r="C832" s="33"/>
      <c r="D832" s="7" t="str">
        <f t="shared" si="60"/>
        <v/>
      </c>
      <c r="E832" s="8" t="str">
        <f t="shared" si="61"/>
        <v/>
      </c>
      <c r="F832" s="18" t="str">
        <f t="shared" si="62"/>
        <v/>
      </c>
      <c r="G832" s="21" t="str">
        <f t="shared" si="63"/>
        <v/>
      </c>
      <c r="H832" s="9"/>
    </row>
    <row r="833" spans="1:8" ht="19.5" customHeight="1">
      <c r="A833" s="10"/>
      <c r="B833" s="27"/>
      <c r="C833" s="34"/>
      <c r="D833" s="11" t="str">
        <f t="shared" si="60"/>
        <v/>
      </c>
      <c r="E833" s="12" t="str">
        <f t="shared" si="61"/>
        <v/>
      </c>
      <c r="F833" s="19" t="str">
        <f t="shared" si="62"/>
        <v/>
      </c>
      <c r="G833" s="22" t="str">
        <f t="shared" si="63"/>
        <v/>
      </c>
      <c r="H833" s="13"/>
    </row>
    <row r="834" spans="1:8" ht="19.5" customHeight="1">
      <c r="A834" s="6"/>
      <c r="B834" s="26"/>
      <c r="C834" s="33"/>
      <c r="D834" s="7" t="str">
        <f t="shared" si="60"/>
        <v/>
      </c>
      <c r="E834" s="8" t="str">
        <f t="shared" si="61"/>
        <v/>
      </c>
      <c r="F834" s="18" t="str">
        <f t="shared" si="62"/>
        <v/>
      </c>
      <c r="G834" s="21" t="str">
        <f t="shared" si="63"/>
        <v/>
      </c>
      <c r="H834" s="9"/>
    </row>
    <row r="835" spans="1:8" ht="19.5" customHeight="1">
      <c r="A835" s="10"/>
      <c r="B835" s="27"/>
      <c r="C835" s="34"/>
      <c r="D835" s="11" t="str">
        <f t="shared" si="60"/>
        <v/>
      </c>
      <c r="E835" s="12" t="str">
        <f t="shared" si="61"/>
        <v/>
      </c>
      <c r="F835" s="19" t="str">
        <f t="shared" si="62"/>
        <v/>
      </c>
      <c r="G835" s="22" t="str">
        <f t="shared" si="63"/>
        <v/>
      </c>
      <c r="H835" s="13"/>
    </row>
    <row r="836" spans="1:8" ht="19.5" customHeight="1">
      <c r="A836" s="6"/>
      <c r="B836" s="26"/>
      <c r="C836" s="33"/>
      <c r="D836" s="7" t="str">
        <f t="shared" si="60"/>
        <v/>
      </c>
      <c r="E836" s="8" t="str">
        <f t="shared" si="61"/>
        <v/>
      </c>
      <c r="F836" s="18" t="str">
        <f t="shared" si="62"/>
        <v/>
      </c>
      <c r="G836" s="21" t="str">
        <f t="shared" si="63"/>
        <v/>
      </c>
      <c r="H836" s="9"/>
    </row>
    <row r="837" spans="1:8" ht="19.5" customHeight="1">
      <c r="A837" s="10"/>
      <c r="B837" s="27"/>
      <c r="C837" s="34"/>
      <c r="D837" s="11" t="str">
        <f t="shared" si="60"/>
        <v/>
      </c>
      <c r="E837" s="12" t="str">
        <f t="shared" si="61"/>
        <v/>
      </c>
      <c r="F837" s="19" t="str">
        <f t="shared" si="62"/>
        <v/>
      </c>
      <c r="G837" s="22" t="str">
        <f t="shared" si="63"/>
        <v/>
      </c>
      <c r="H837" s="13"/>
    </row>
    <row r="838" spans="1:8" ht="19.5" customHeight="1">
      <c r="A838" s="6"/>
      <c r="B838" s="26"/>
      <c r="C838" s="33"/>
      <c r="D838" s="7" t="str">
        <f t="shared" si="60"/>
        <v/>
      </c>
      <c r="E838" s="8" t="str">
        <f t="shared" si="61"/>
        <v/>
      </c>
      <c r="F838" s="18" t="str">
        <f t="shared" si="62"/>
        <v/>
      </c>
      <c r="G838" s="21" t="str">
        <f t="shared" si="63"/>
        <v/>
      </c>
      <c r="H838" s="9"/>
    </row>
    <row r="839" spans="1:8" ht="19.5" customHeight="1">
      <c r="A839" s="10"/>
      <c r="B839" s="27"/>
      <c r="C839" s="34"/>
      <c r="D839" s="11" t="str">
        <f t="shared" si="60"/>
        <v/>
      </c>
      <c r="E839" s="12" t="str">
        <f t="shared" si="61"/>
        <v/>
      </c>
      <c r="F839" s="19" t="str">
        <f t="shared" si="62"/>
        <v/>
      </c>
      <c r="G839" s="22" t="str">
        <f t="shared" si="63"/>
        <v/>
      </c>
      <c r="H839" s="13"/>
    </row>
    <row r="840" spans="1:8" ht="19.5" customHeight="1">
      <c r="A840" s="6"/>
      <c r="B840" s="26"/>
      <c r="C840" s="33"/>
      <c r="D840" s="7" t="str">
        <f t="shared" si="60"/>
        <v/>
      </c>
      <c r="E840" s="8" t="str">
        <f t="shared" si="61"/>
        <v/>
      </c>
      <c r="F840" s="18" t="str">
        <f t="shared" si="62"/>
        <v/>
      </c>
      <c r="G840" s="21" t="str">
        <f t="shared" si="63"/>
        <v/>
      </c>
      <c r="H840" s="9"/>
    </row>
    <row r="841" spans="1:8" ht="19.5" customHeight="1">
      <c r="A841" s="10"/>
      <c r="B841" s="27"/>
      <c r="C841" s="34"/>
      <c r="D841" s="11" t="str">
        <f t="shared" si="60"/>
        <v/>
      </c>
      <c r="E841" s="12" t="str">
        <f t="shared" si="61"/>
        <v/>
      </c>
      <c r="F841" s="19" t="str">
        <f t="shared" si="62"/>
        <v/>
      </c>
      <c r="G841" s="22" t="str">
        <f t="shared" si="63"/>
        <v/>
      </c>
      <c r="H841" s="13"/>
    </row>
    <row r="842" spans="1:8" ht="19.5" customHeight="1">
      <c r="A842" s="6"/>
      <c r="B842" s="26"/>
      <c r="C842" s="33"/>
      <c r="D842" s="7" t="str">
        <f t="shared" si="60"/>
        <v/>
      </c>
      <c r="E842" s="8" t="str">
        <f t="shared" si="61"/>
        <v/>
      </c>
      <c r="F842" s="18" t="str">
        <f t="shared" si="62"/>
        <v/>
      </c>
      <c r="G842" s="21" t="str">
        <f t="shared" si="63"/>
        <v/>
      </c>
      <c r="H842" s="9"/>
    </row>
    <row r="843" spans="1:8" ht="19.5" customHeight="1">
      <c r="A843" s="10"/>
      <c r="B843" s="27"/>
      <c r="C843" s="34"/>
      <c r="D843" s="11" t="str">
        <f t="shared" si="60"/>
        <v/>
      </c>
      <c r="E843" s="12" t="str">
        <f t="shared" si="61"/>
        <v/>
      </c>
      <c r="F843" s="19" t="str">
        <f t="shared" si="62"/>
        <v/>
      </c>
      <c r="G843" s="22" t="str">
        <f t="shared" si="63"/>
        <v/>
      </c>
      <c r="H843" s="13"/>
    </row>
    <row r="844" spans="1:8" ht="19.5" customHeight="1">
      <c r="A844" s="6"/>
      <c r="B844" s="26"/>
      <c r="C844" s="33"/>
      <c r="D844" s="7" t="str">
        <f t="shared" si="60"/>
        <v/>
      </c>
      <c r="E844" s="8" t="str">
        <f t="shared" si="61"/>
        <v/>
      </c>
      <c r="F844" s="18" t="str">
        <f t="shared" si="62"/>
        <v/>
      </c>
      <c r="G844" s="21" t="str">
        <f t="shared" si="63"/>
        <v/>
      </c>
      <c r="H844" s="9"/>
    </row>
    <row r="845" spans="1:8" ht="19.5" customHeight="1">
      <c r="A845" s="10"/>
      <c r="B845" s="27"/>
      <c r="C845" s="34"/>
      <c r="D845" s="11" t="str">
        <f t="shared" si="60"/>
        <v/>
      </c>
      <c r="E845" s="12" t="str">
        <f t="shared" si="61"/>
        <v/>
      </c>
      <c r="F845" s="19" t="str">
        <f t="shared" si="62"/>
        <v/>
      </c>
      <c r="G845" s="22" t="str">
        <f t="shared" si="63"/>
        <v/>
      </c>
      <c r="H845" s="13"/>
    </row>
    <row r="846" spans="1:8" ht="19.5" customHeight="1">
      <c r="A846" s="6"/>
      <c r="B846" s="26"/>
      <c r="C846" s="33"/>
      <c r="D846" s="7" t="str">
        <f t="shared" si="60"/>
        <v/>
      </c>
      <c r="E846" s="8" t="str">
        <f t="shared" si="61"/>
        <v/>
      </c>
      <c r="F846" s="18" t="str">
        <f t="shared" si="62"/>
        <v/>
      </c>
      <c r="G846" s="21" t="str">
        <f t="shared" si="63"/>
        <v/>
      </c>
      <c r="H846" s="9"/>
    </row>
    <row r="847" spans="1:8" ht="19.5" customHeight="1">
      <c r="A847" s="10"/>
      <c r="B847" s="27"/>
      <c r="C847" s="34"/>
      <c r="D847" s="11" t="str">
        <f t="shared" si="60"/>
        <v/>
      </c>
      <c r="E847" s="12" t="str">
        <f t="shared" si="61"/>
        <v/>
      </c>
      <c r="F847" s="19" t="str">
        <f t="shared" si="62"/>
        <v/>
      </c>
      <c r="G847" s="22" t="str">
        <f t="shared" si="63"/>
        <v/>
      </c>
      <c r="H847" s="13"/>
    </row>
    <row r="848" spans="1:8" ht="19.5" customHeight="1">
      <c r="A848" s="6"/>
      <c r="B848" s="26"/>
      <c r="C848" s="33"/>
      <c r="D848" s="7" t="str">
        <f t="shared" si="60"/>
        <v/>
      </c>
      <c r="E848" s="8" t="str">
        <f t="shared" si="61"/>
        <v/>
      </c>
      <c r="F848" s="18" t="str">
        <f t="shared" si="62"/>
        <v/>
      </c>
      <c r="G848" s="21" t="str">
        <f t="shared" si="63"/>
        <v/>
      </c>
      <c r="H848" s="9"/>
    </row>
    <row r="849" spans="1:8" ht="19.5" customHeight="1">
      <c r="A849" s="10"/>
      <c r="B849" s="27"/>
      <c r="C849" s="34"/>
      <c r="D849" s="11" t="str">
        <f t="shared" si="60"/>
        <v/>
      </c>
      <c r="E849" s="12" t="str">
        <f t="shared" si="61"/>
        <v/>
      </c>
      <c r="F849" s="19" t="str">
        <f t="shared" si="62"/>
        <v/>
      </c>
      <c r="G849" s="22" t="str">
        <f t="shared" si="63"/>
        <v/>
      </c>
      <c r="H849" s="13"/>
    </row>
    <row r="850" spans="1:8" ht="19.5" customHeight="1">
      <c r="A850" s="6"/>
      <c r="B850" s="26"/>
      <c r="C850" s="33"/>
      <c r="D850" s="7" t="str">
        <f t="shared" si="60"/>
        <v/>
      </c>
      <c r="E850" s="8" t="str">
        <f t="shared" si="61"/>
        <v/>
      </c>
      <c r="F850" s="18" t="str">
        <f t="shared" si="62"/>
        <v/>
      </c>
      <c r="G850" s="21" t="str">
        <f t="shared" si="63"/>
        <v/>
      </c>
      <c r="H850" s="9"/>
    </row>
    <row r="851" spans="1:8" ht="19.5" customHeight="1">
      <c r="A851" s="10"/>
      <c r="B851" s="27"/>
      <c r="C851" s="34"/>
      <c r="D851" s="11" t="str">
        <f t="shared" si="60"/>
        <v/>
      </c>
      <c r="E851" s="12" t="str">
        <f t="shared" si="61"/>
        <v/>
      </c>
      <c r="F851" s="19" t="str">
        <f t="shared" si="62"/>
        <v/>
      </c>
      <c r="G851" s="22" t="str">
        <f t="shared" si="63"/>
        <v/>
      </c>
      <c r="H851" s="13"/>
    </row>
    <row r="852" spans="1:8" ht="19.5" customHeight="1">
      <c r="A852" s="6"/>
      <c r="B852" s="26"/>
      <c r="C852" s="33"/>
      <c r="D852" s="7" t="str">
        <f t="shared" ref="D852:D915" si="64">IF(C852="","",C852*$B$1)</f>
        <v/>
      </c>
      <c r="E852" s="8" t="str">
        <f t="shared" ref="E852:E915" si="65">IF(C852="","",C852-D852)</f>
        <v/>
      </c>
      <c r="F852" s="18" t="str">
        <f t="shared" ref="F852:F915" si="66">IF(OR(B852="",C852=""),"",E852-B852)</f>
        <v/>
      </c>
      <c r="G852" s="21" t="str">
        <f t="shared" ref="G852:G915" si="67">IF(OR(B852="",B852=0),"",F852/B852)</f>
        <v/>
      </c>
      <c r="H852" s="9"/>
    </row>
    <row r="853" spans="1:8" ht="19.5" customHeight="1">
      <c r="A853" s="10"/>
      <c r="B853" s="27"/>
      <c r="C853" s="34"/>
      <c r="D853" s="11" t="str">
        <f t="shared" si="64"/>
        <v/>
      </c>
      <c r="E853" s="12" t="str">
        <f t="shared" si="65"/>
        <v/>
      </c>
      <c r="F853" s="19" t="str">
        <f t="shared" si="66"/>
        <v/>
      </c>
      <c r="G853" s="22" t="str">
        <f t="shared" si="67"/>
        <v/>
      </c>
      <c r="H853" s="13"/>
    </row>
    <row r="854" spans="1:8" ht="19.5" customHeight="1">
      <c r="A854" s="6"/>
      <c r="B854" s="26"/>
      <c r="C854" s="33"/>
      <c r="D854" s="7" t="str">
        <f t="shared" si="64"/>
        <v/>
      </c>
      <c r="E854" s="8" t="str">
        <f t="shared" si="65"/>
        <v/>
      </c>
      <c r="F854" s="18" t="str">
        <f t="shared" si="66"/>
        <v/>
      </c>
      <c r="G854" s="21" t="str">
        <f t="shared" si="67"/>
        <v/>
      </c>
      <c r="H854" s="9"/>
    </row>
    <row r="855" spans="1:8" ht="19.5" customHeight="1">
      <c r="A855" s="10"/>
      <c r="B855" s="27"/>
      <c r="C855" s="34"/>
      <c r="D855" s="11" t="str">
        <f t="shared" si="64"/>
        <v/>
      </c>
      <c r="E855" s="12" t="str">
        <f t="shared" si="65"/>
        <v/>
      </c>
      <c r="F855" s="19" t="str">
        <f t="shared" si="66"/>
        <v/>
      </c>
      <c r="G855" s="22" t="str">
        <f t="shared" si="67"/>
        <v/>
      </c>
      <c r="H855" s="13"/>
    </row>
    <row r="856" spans="1:8" ht="19.5" customHeight="1">
      <c r="A856" s="6"/>
      <c r="B856" s="26"/>
      <c r="C856" s="33"/>
      <c r="D856" s="7" t="str">
        <f t="shared" si="64"/>
        <v/>
      </c>
      <c r="E856" s="8" t="str">
        <f t="shared" si="65"/>
        <v/>
      </c>
      <c r="F856" s="18" t="str">
        <f t="shared" si="66"/>
        <v/>
      </c>
      <c r="G856" s="21" t="str">
        <f t="shared" si="67"/>
        <v/>
      </c>
      <c r="H856" s="9"/>
    </row>
    <row r="857" spans="1:8" ht="19.5" customHeight="1">
      <c r="A857" s="10"/>
      <c r="B857" s="27"/>
      <c r="C857" s="34"/>
      <c r="D857" s="11" t="str">
        <f t="shared" si="64"/>
        <v/>
      </c>
      <c r="E857" s="12" t="str">
        <f t="shared" si="65"/>
        <v/>
      </c>
      <c r="F857" s="19" t="str">
        <f t="shared" si="66"/>
        <v/>
      </c>
      <c r="G857" s="22" t="str">
        <f t="shared" si="67"/>
        <v/>
      </c>
      <c r="H857" s="13"/>
    </row>
    <row r="858" spans="1:8" ht="19.5" customHeight="1">
      <c r="A858" s="6"/>
      <c r="B858" s="26"/>
      <c r="C858" s="33"/>
      <c r="D858" s="7" t="str">
        <f t="shared" si="64"/>
        <v/>
      </c>
      <c r="E858" s="8" t="str">
        <f t="shared" si="65"/>
        <v/>
      </c>
      <c r="F858" s="18" t="str">
        <f t="shared" si="66"/>
        <v/>
      </c>
      <c r="G858" s="21" t="str">
        <f t="shared" si="67"/>
        <v/>
      </c>
      <c r="H858" s="9"/>
    </row>
    <row r="859" spans="1:8" ht="19.5" customHeight="1">
      <c r="A859" s="10"/>
      <c r="B859" s="27"/>
      <c r="C859" s="34"/>
      <c r="D859" s="11" t="str">
        <f t="shared" si="64"/>
        <v/>
      </c>
      <c r="E859" s="12" t="str">
        <f t="shared" si="65"/>
        <v/>
      </c>
      <c r="F859" s="19" t="str">
        <f t="shared" si="66"/>
        <v/>
      </c>
      <c r="G859" s="22" t="str">
        <f t="shared" si="67"/>
        <v/>
      </c>
      <c r="H859" s="13"/>
    </row>
    <row r="860" spans="1:8" ht="19.5" customHeight="1">
      <c r="A860" s="6"/>
      <c r="B860" s="26"/>
      <c r="C860" s="33"/>
      <c r="D860" s="7" t="str">
        <f t="shared" si="64"/>
        <v/>
      </c>
      <c r="E860" s="8" t="str">
        <f t="shared" si="65"/>
        <v/>
      </c>
      <c r="F860" s="18" t="str">
        <f t="shared" si="66"/>
        <v/>
      </c>
      <c r="G860" s="21" t="str">
        <f t="shared" si="67"/>
        <v/>
      </c>
      <c r="H860" s="9"/>
    </row>
    <row r="861" spans="1:8" ht="19.5" customHeight="1">
      <c r="A861" s="10"/>
      <c r="B861" s="27"/>
      <c r="C861" s="34"/>
      <c r="D861" s="11" t="str">
        <f t="shared" si="64"/>
        <v/>
      </c>
      <c r="E861" s="12" t="str">
        <f t="shared" si="65"/>
        <v/>
      </c>
      <c r="F861" s="19" t="str">
        <f t="shared" si="66"/>
        <v/>
      </c>
      <c r="G861" s="22" t="str">
        <f t="shared" si="67"/>
        <v/>
      </c>
      <c r="H861" s="13"/>
    </row>
    <row r="862" spans="1:8" ht="19.5" customHeight="1">
      <c r="A862" s="6"/>
      <c r="B862" s="26"/>
      <c r="C862" s="33"/>
      <c r="D862" s="7" t="str">
        <f t="shared" si="64"/>
        <v/>
      </c>
      <c r="E862" s="8" t="str">
        <f t="shared" si="65"/>
        <v/>
      </c>
      <c r="F862" s="18" t="str">
        <f t="shared" si="66"/>
        <v/>
      </c>
      <c r="G862" s="21" t="str">
        <f t="shared" si="67"/>
        <v/>
      </c>
      <c r="H862" s="9"/>
    </row>
    <row r="863" spans="1:8" ht="19.5" customHeight="1">
      <c r="A863" s="10"/>
      <c r="B863" s="27"/>
      <c r="C863" s="34"/>
      <c r="D863" s="11" t="str">
        <f t="shared" si="64"/>
        <v/>
      </c>
      <c r="E863" s="12" t="str">
        <f t="shared" si="65"/>
        <v/>
      </c>
      <c r="F863" s="19" t="str">
        <f t="shared" si="66"/>
        <v/>
      </c>
      <c r="G863" s="22" t="str">
        <f t="shared" si="67"/>
        <v/>
      </c>
      <c r="H863" s="13"/>
    </row>
    <row r="864" spans="1:8" ht="19.5" customHeight="1">
      <c r="A864" s="6"/>
      <c r="B864" s="26"/>
      <c r="C864" s="33"/>
      <c r="D864" s="7" t="str">
        <f t="shared" si="64"/>
        <v/>
      </c>
      <c r="E864" s="8" t="str">
        <f t="shared" si="65"/>
        <v/>
      </c>
      <c r="F864" s="18" t="str">
        <f t="shared" si="66"/>
        <v/>
      </c>
      <c r="G864" s="21" t="str">
        <f t="shared" si="67"/>
        <v/>
      </c>
      <c r="H864" s="9"/>
    </row>
    <row r="865" spans="1:8" ht="19.5" customHeight="1">
      <c r="A865" s="10"/>
      <c r="B865" s="27"/>
      <c r="C865" s="34"/>
      <c r="D865" s="11" t="str">
        <f t="shared" si="64"/>
        <v/>
      </c>
      <c r="E865" s="12" t="str">
        <f t="shared" si="65"/>
        <v/>
      </c>
      <c r="F865" s="19" t="str">
        <f t="shared" si="66"/>
        <v/>
      </c>
      <c r="G865" s="22" t="str">
        <f t="shared" si="67"/>
        <v/>
      </c>
      <c r="H865" s="13"/>
    </row>
    <row r="866" spans="1:8" ht="19.5" customHeight="1">
      <c r="A866" s="6"/>
      <c r="B866" s="26"/>
      <c r="C866" s="33"/>
      <c r="D866" s="7" t="str">
        <f t="shared" si="64"/>
        <v/>
      </c>
      <c r="E866" s="8" t="str">
        <f t="shared" si="65"/>
        <v/>
      </c>
      <c r="F866" s="18" t="str">
        <f t="shared" si="66"/>
        <v/>
      </c>
      <c r="G866" s="21" t="str">
        <f t="shared" si="67"/>
        <v/>
      </c>
      <c r="H866" s="9"/>
    </row>
    <row r="867" spans="1:8" ht="19.5" customHeight="1">
      <c r="A867" s="10"/>
      <c r="B867" s="27"/>
      <c r="C867" s="34"/>
      <c r="D867" s="11" t="str">
        <f t="shared" si="64"/>
        <v/>
      </c>
      <c r="E867" s="12" t="str">
        <f t="shared" si="65"/>
        <v/>
      </c>
      <c r="F867" s="19" t="str">
        <f t="shared" si="66"/>
        <v/>
      </c>
      <c r="G867" s="22" t="str">
        <f t="shared" si="67"/>
        <v/>
      </c>
      <c r="H867" s="13"/>
    </row>
    <row r="868" spans="1:8" ht="19.5" customHeight="1">
      <c r="A868" s="6"/>
      <c r="B868" s="26"/>
      <c r="C868" s="33"/>
      <c r="D868" s="7" t="str">
        <f t="shared" si="64"/>
        <v/>
      </c>
      <c r="E868" s="8" t="str">
        <f t="shared" si="65"/>
        <v/>
      </c>
      <c r="F868" s="18" t="str">
        <f t="shared" si="66"/>
        <v/>
      </c>
      <c r="G868" s="21" t="str">
        <f t="shared" si="67"/>
        <v/>
      </c>
      <c r="H868" s="9"/>
    </row>
    <row r="869" spans="1:8" ht="19.5" customHeight="1">
      <c r="A869" s="10"/>
      <c r="B869" s="27"/>
      <c r="C869" s="34"/>
      <c r="D869" s="11" t="str">
        <f t="shared" si="64"/>
        <v/>
      </c>
      <c r="E869" s="12" t="str">
        <f t="shared" si="65"/>
        <v/>
      </c>
      <c r="F869" s="19" t="str">
        <f t="shared" si="66"/>
        <v/>
      </c>
      <c r="G869" s="22" t="str">
        <f t="shared" si="67"/>
        <v/>
      </c>
      <c r="H869" s="13"/>
    </row>
    <row r="870" spans="1:8" ht="19.5" customHeight="1">
      <c r="A870" s="6"/>
      <c r="B870" s="26"/>
      <c r="C870" s="33"/>
      <c r="D870" s="7" t="str">
        <f t="shared" si="64"/>
        <v/>
      </c>
      <c r="E870" s="8" t="str">
        <f t="shared" si="65"/>
        <v/>
      </c>
      <c r="F870" s="18" t="str">
        <f t="shared" si="66"/>
        <v/>
      </c>
      <c r="G870" s="21" t="str">
        <f t="shared" si="67"/>
        <v/>
      </c>
      <c r="H870" s="9"/>
    </row>
    <row r="871" spans="1:8" ht="19.5" customHeight="1">
      <c r="A871" s="10"/>
      <c r="B871" s="27"/>
      <c r="C871" s="34"/>
      <c r="D871" s="11" t="str">
        <f t="shared" si="64"/>
        <v/>
      </c>
      <c r="E871" s="12" t="str">
        <f t="shared" si="65"/>
        <v/>
      </c>
      <c r="F871" s="19" t="str">
        <f t="shared" si="66"/>
        <v/>
      </c>
      <c r="G871" s="22" t="str">
        <f t="shared" si="67"/>
        <v/>
      </c>
      <c r="H871" s="13"/>
    </row>
    <row r="872" spans="1:8" ht="19.5" customHeight="1">
      <c r="A872" s="6"/>
      <c r="B872" s="26"/>
      <c r="C872" s="33"/>
      <c r="D872" s="7" t="str">
        <f t="shared" si="64"/>
        <v/>
      </c>
      <c r="E872" s="8" t="str">
        <f t="shared" si="65"/>
        <v/>
      </c>
      <c r="F872" s="18" t="str">
        <f t="shared" si="66"/>
        <v/>
      </c>
      <c r="G872" s="21" t="str">
        <f t="shared" si="67"/>
        <v/>
      </c>
      <c r="H872" s="9"/>
    </row>
    <row r="873" spans="1:8" ht="19.5" customHeight="1">
      <c r="A873" s="10"/>
      <c r="B873" s="27"/>
      <c r="C873" s="34"/>
      <c r="D873" s="11" t="str">
        <f t="shared" si="64"/>
        <v/>
      </c>
      <c r="E873" s="12" t="str">
        <f t="shared" si="65"/>
        <v/>
      </c>
      <c r="F873" s="19" t="str">
        <f t="shared" si="66"/>
        <v/>
      </c>
      <c r="G873" s="22" t="str">
        <f t="shared" si="67"/>
        <v/>
      </c>
      <c r="H873" s="13"/>
    </row>
    <row r="874" spans="1:8" ht="19.5" customHeight="1">
      <c r="A874" s="6"/>
      <c r="B874" s="26"/>
      <c r="C874" s="33"/>
      <c r="D874" s="7" t="str">
        <f t="shared" si="64"/>
        <v/>
      </c>
      <c r="E874" s="8" t="str">
        <f t="shared" si="65"/>
        <v/>
      </c>
      <c r="F874" s="18" t="str">
        <f t="shared" si="66"/>
        <v/>
      </c>
      <c r="G874" s="21" t="str">
        <f t="shared" si="67"/>
        <v/>
      </c>
      <c r="H874" s="9"/>
    </row>
    <row r="875" spans="1:8" ht="19.5" customHeight="1">
      <c r="A875" s="10"/>
      <c r="B875" s="27"/>
      <c r="C875" s="34"/>
      <c r="D875" s="11" t="str">
        <f t="shared" si="64"/>
        <v/>
      </c>
      <c r="E875" s="12" t="str">
        <f t="shared" si="65"/>
        <v/>
      </c>
      <c r="F875" s="19" t="str">
        <f t="shared" si="66"/>
        <v/>
      </c>
      <c r="G875" s="22" t="str">
        <f t="shared" si="67"/>
        <v/>
      </c>
      <c r="H875" s="13"/>
    </row>
    <row r="876" spans="1:8" ht="19.5" customHeight="1">
      <c r="A876" s="6"/>
      <c r="B876" s="26"/>
      <c r="C876" s="33"/>
      <c r="D876" s="7" t="str">
        <f t="shared" si="64"/>
        <v/>
      </c>
      <c r="E876" s="8" t="str">
        <f t="shared" si="65"/>
        <v/>
      </c>
      <c r="F876" s="18" t="str">
        <f t="shared" si="66"/>
        <v/>
      </c>
      <c r="G876" s="21" t="str">
        <f t="shared" si="67"/>
        <v/>
      </c>
      <c r="H876" s="9"/>
    </row>
    <row r="877" spans="1:8" ht="19.5" customHeight="1">
      <c r="A877" s="10"/>
      <c r="B877" s="27"/>
      <c r="C877" s="34"/>
      <c r="D877" s="11" t="str">
        <f t="shared" si="64"/>
        <v/>
      </c>
      <c r="E877" s="12" t="str">
        <f t="shared" si="65"/>
        <v/>
      </c>
      <c r="F877" s="19" t="str">
        <f t="shared" si="66"/>
        <v/>
      </c>
      <c r="G877" s="22" t="str">
        <f t="shared" si="67"/>
        <v/>
      </c>
      <c r="H877" s="13"/>
    </row>
    <row r="878" spans="1:8" ht="19.5" customHeight="1">
      <c r="A878" s="6"/>
      <c r="B878" s="26"/>
      <c r="C878" s="33"/>
      <c r="D878" s="7" t="str">
        <f t="shared" si="64"/>
        <v/>
      </c>
      <c r="E878" s="8" t="str">
        <f t="shared" si="65"/>
        <v/>
      </c>
      <c r="F878" s="18" t="str">
        <f t="shared" si="66"/>
        <v/>
      </c>
      <c r="G878" s="21" t="str">
        <f t="shared" si="67"/>
        <v/>
      </c>
      <c r="H878" s="9"/>
    </row>
    <row r="879" spans="1:8" ht="19.5" customHeight="1">
      <c r="A879" s="10"/>
      <c r="B879" s="27"/>
      <c r="C879" s="34"/>
      <c r="D879" s="11" t="str">
        <f t="shared" si="64"/>
        <v/>
      </c>
      <c r="E879" s="12" t="str">
        <f t="shared" si="65"/>
        <v/>
      </c>
      <c r="F879" s="19" t="str">
        <f t="shared" si="66"/>
        <v/>
      </c>
      <c r="G879" s="22" t="str">
        <f t="shared" si="67"/>
        <v/>
      </c>
      <c r="H879" s="13"/>
    </row>
    <row r="880" spans="1:8" ht="19.5" customHeight="1">
      <c r="A880" s="6"/>
      <c r="B880" s="26"/>
      <c r="C880" s="33"/>
      <c r="D880" s="7" t="str">
        <f t="shared" si="64"/>
        <v/>
      </c>
      <c r="E880" s="8" t="str">
        <f t="shared" si="65"/>
        <v/>
      </c>
      <c r="F880" s="18" t="str">
        <f t="shared" si="66"/>
        <v/>
      </c>
      <c r="G880" s="21" t="str">
        <f t="shared" si="67"/>
        <v/>
      </c>
      <c r="H880" s="9"/>
    </row>
    <row r="881" spans="1:8" ht="19.5" customHeight="1">
      <c r="A881" s="10"/>
      <c r="B881" s="27"/>
      <c r="C881" s="34"/>
      <c r="D881" s="11" t="str">
        <f t="shared" si="64"/>
        <v/>
      </c>
      <c r="E881" s="12" t="str">
        <f t="shared" si="65"/>
        <v/>
      </c>
      <c r="F881" s="19" t="str">
        <f t="shared" si="66"/>
        <v/>
      </c>
      <c r="G881" s="22" t="str">
        <f t="shared" si="67"/>
        <v/>
      </c>
      <c r="H881" s="13"/>
    </row>
    <row r="882" spans="1:8" ht="19.5" customHeight="1">
      <c r="A882" s="6"/>
      <c r="B882" s="26"/>
      <c r="C882" s="33"/>
      <c r="D882" s="7" t="str">
        <f t="shared" si="64"/>
        <v/>
      </c>
      <c r="E882" s="8" t="str">
        <f t="shared" si="65"/>
        <v/>
      </c>
      <c r="F882" s="18" t="str">
        <f t="shared" si="66"/>
        <v/>
      </c>
      <c r="G882" s="21" t="str">
        <f t="shared" si="67"/>
        <v/>
      </c>
      <c r="H882" s="9"/>
    </row>
    <row r="883" spans="1:8" ht="19.5" customHeight="1">
      <c r="A883" s="10"/>
      <c r="B883" s="27"/>
      <c r="C883" s="34"/>
      <c r="D883" s="11" t="str">
        <f t="shared" si="64"/>
        <v/>
      </c>
      <c r="E883" s="12" t="str">
        <f t="shared" si="65"/>
        <v/>
      </c>
      <c r="F883" s="19" t="str">
        <f t="shared" si="66"/>
        <v/>
      </c>
      <c r="G883" s="22" t="str">
        <f t="shared" si="67"/>
        <v/>
      </c>
      <c r="H883" s="13"/>
    </row>
    <row r="884" spans="1:8" ht="19.5" customHeight="1">
      <c r="A884" s="6"/>
      <c r="B884" s="26"/>
      <c r="C884" s="33"/>
      <c r="D884" s="7" t="str">
        <f t="shared" si="64"/>
        <v/>
      </c>
      <c r="E884" s="8" t="str">
        <f t="shared" si="65"/>
        <v/>
      </c>
      <c r="F884" s="18" t="str">
        <f t="shared" si="66"/>
        <v/>
      </c>
      <c r="G884" s="21" t="str">
        <f t="shared" si="67"/>
        <v/>
      </c>
      <c r="H884" s="9"/>
    </row>
    <row r="885" spans="1:8" ht="19.5" customHeight="1">
      <c r="A885" s="10"/>
      <c r="B885" s="27"/>
      <c r="C885" s="34"/>
      <c r="D885" s="11" t="str">
        <f t="shared" si="64"/>
        <v/>
      </c>
      <c r="E885" s="12" t="str">
        <f t="shared" si="65"/>
        <v/>
      </c>
      <c r="F885" s="19" t="str">
        <f t="shared" si="66"/>
        <v/>
      </c>
      <c r="G885" s="22" t="str">
        <f t="shared" si="67"/>
        <v/>
      </c>
      <c r="H885" s="13"/>
    </row>
    <row r="886" spans="1:8" ht="19.5" customHeight="1">
      <c r="A886" s="6"/>
      <c r="B886" s="26"/>
      <c r="C886" s="33"/>
      <c r="D886" s="7" t="str">
        <f t="shared" si="64"/>
        <v/>
      </c>
      <c r="E886" s="8" t="str">
        <f t="shared" si="65"/>
        <v/>
      </c>
      <c r="F886" s="18" t="str">
        <f t="shared" si="66"/>
        <v/>
      </c>
      <c r="G886" s="21" t="str">
        <f t="shared" si="67"/>
        <v/>
      </c>
      <c r="H886" s="9"/>
    </row>
    <row r="887" spans="1:8" ht="19.5" customHeight="1">
      <c r="A887" s="10"/>
      <c r="B887" s="27"/>
      <c r="C887" s="34"/>
      <c r="D887" s="11" t="str">
        <f t="shared" si="64"/>
        <v/>
      </c>
      <c r="E887" s="12" t="str">
        <f t="shared" si="65"/>
        <v/>
      </c>
      <c r="F887" s="19" t="str">
        <f t="shared" si="66"/>
        <v/>
      </c>
      <c r="G887" s="22" t="str">
        <f t="shared" si="67"/>
        <v/>
      </c>
      <c r="H887" s="13"/>
    </row>
    <row r="888" spans="1:8" ht="19.5" customHeight="1">
      <c r="A888" s="6"/>
      <c r="B888" s="26"/>
      <c r="C888" s="33"/>
      <c r="D888" s="7" t="str">
        <f t="shared" si="64"/>
        <v/>
      </c>
      <c r="E888" s="8" t="str">
        <f t="shared" si="65"/>
        <v/>
      </c>
      <c r="F888" s="18" t="str">
        <f t="shared" si="66"/>
        <v/>
      </c>
      <c r="G888" s="21" t="str">
        <f t="shared" si="67"/>
        <v/>
      </c>
      <c r="H888" s="9"/>
    </row>
    <row r="889" spans="1:8" ht="19.5" customHeight="1">
      <c r="A889" s="10"/>
      <c r="B889" s="27"/>
      <c r="C889" s="34"/>
      <c r="D889" s="11" t="str">
        <f t="shared" si="64"/>
        <v/>
      </c>
      <c r="E889" s="12" t="str">
        <f t="shared" si="65"/>
        <v/>
      </c>
      <c r="F889" s="19" t="str">
        <f t="shared" si="66"/>
        <v/>
      </c>
      <c r="G889" s="22" t="str">
        <f t="shared" si="67"/>
        <v/>
      </c>
      <c r="H889" s="13"/>
    </row>
    <row r="890" spans="1:8" ht="19.5" customHeight="1">
      <c r="A890" s="6"/>
      <c r="B890" s="26"/>
      <c r="C890" s="33"/>
      <c r="D890" s="7" t="str">
        <f t="shared" si="64"/>
        <v/>
      </c>
      <c r="E890" s="8" t="str">
        <f t="shared" si="65"/>
        <v/>
      </c>
      <c r="F890" s="18" t="str">
        <f t="shared" si="66"/>
        <v/>
      </c>
      <c r="G890" s="21" t="str">
        <f t="shared" si="67"/>
        <v/>
      </c>
      <c r="H890" s="9"/>
    </row>
    <row r="891" spans="1:8" ht="19.5" customHeight="1">
      <c r="A891" s="10"/>
      <c r="B891" s="27"/>
      <c r="C891" s="34"/>
      <c r="D891" s="11" t="str">
        <f t="shared" si="64"/>
        <v/>
      </c>
      <c r="E891" s="12" t="str">
        <f t="shared" si="65"/>
        <v/>
      </c>
      <c r="F891" s="19" t="str">
        <f t="shared" si="66"/>
        <v/>
      </c>
      <c r="G891" s="22" t="str">
        <f t="shared" si="67"/>
        <v/>
      </c>
      <c r="H891" s="13"/>
    </row>
    <row r="892" spans="1:8" ht="19.5" customHeight="1">
      <c r="A892" s="6"/>
      <c r="B892" s="26"/>
      <c r="C892" s="33"/>
      <c r="D892" s="7" t="str">
        <f t="shared" si="64"/>
        <v/>
      </c>
      <c r="E892" s="8" t="str">
        <f t="shared" si="65"/>
        <v/>
      </c>
      <c r="F892" s="18" t="str">
        <f t="shared" si="66"/>
        <v/>
      </c>
      <c r="G892" s="21" t="str">
        <f t="shared" si="67"/>
        <v/>
      </c>
      <c r="H892" s="9"/>
    </row>
    <row r="893" spans="1:8" ht="19.5" customHeight="1">
      <c r="A893" s="10"/>
      <c r="B893" s="27"/>
      <c r="C893" s="34"/>
      <c r="D893" s="11" t="str">
        <f t="shared" si="64"/>
        <v/>
      </c>
      <c r="E893" s="12" t="str">
        <f t="shared" si="65"/>
        <v/>
      </c>
      <c r="F893" s="19" t="str">
        <f t="shared" si="66"/>
        <v/>
      </c>
      <c r="G893" s="22" t="str">
        <f t="shared" si="67"/>
        <v/>
      </c>
      <c r="H893" s="13"/>
    </row>
    <row r="894" spans="1:8" ht="19.5" customHeight="1">
      <c r="A894" s="6"/>
      <c r="B894" s="26"/>
      <c r="C894" s="33"/>
      <c r="D894" s="7" t="str">
        <f t="shared" si="64"/>
        <v/>
      </c>
      <c r="E894" s="8" t="str">
        <f t="shared" si="65"/>
        <v/>
      </c>
      <c r="F894" s="18" t="str">
        <f t="shared" si="66"/>
        <v/>
      </c>
      <c r="G894" s="21" t="str">
        <f t="shared" si="67"/>
        <v/>
      </c>
      <c r="H894" s="9"/>
    </row>
    <row r="895" spans="1:8" ht="19.5" customHeight="1">
      <c r="A895" s="10"/>
      <c r="B895" s="27"/>
      <c r="C895" s="34"/>
      <c r="D895" s="11" t="str">
        <f t="shared" si="64"/>
        <v/>
      </c>
      <c r="E895" s="12" t="str">
        <f t="shared" si="65"/>
        <v/>
      </c>
      <c r="F895" s="19" t="str">
        <f t="shared" si="66"/>
        <v/>
      </c>
      <c r="G895" s="22" t="str">
        <f t="shared" si="67"/>
        <v/>
      </c>
      <c r="H895" s="13"/>
    </row>
    <row r="896" spans="1:8" ht="19.5" customHeight="1">
      <c r="A896" s="6"/>
      <c r="B896" s="26"/>
      <c r="C896" s="33"/>
      <c r="D896" s="7" t="str">
        <f t="shared" si="64"/>
        <v/>
      </c>
      <c r="E896" s="8" t="str">
        <f t="shared" si="65"/>
        <v/>
      </c>
      <c r="F896" s="18" t="str">
        <f t="shared" si="66"/>
        <v/>
      </c>
      <c r="G896" s="21" t="str">
        <f t="shared" si="67"/>
        <v/>
      </c>
      <c r="H896" s="9"/>
    </row>
    <row r="897" spans="1:8" ht="19.5" customHeight="1">
      <c r="A897" s="10"/>
      <c r="B897" s="27"/>
      <c r="C897" s="34"/>
      <c r="D897" s="11" t="str">
        <f t="shared" si="64"/>
        <v/>
      </c>
      <c r="E897" s="12" t="str">
        <f t="shared" si="65"/>
        <v/>
      </c>
      <c r="F897" s="19" t="str">
        <f t="shared" si="66"/>
        <v/>
      </c>
      <c r="G897" s="22" t="str">
        <f t="shared" si="67"/>
        <v/>
      </c>
      <c r="H897" s="13"/>
    </row>
    <row r="898" spans="1:8" ht="19.5" customHeight="1">
      <c r="A898" s="6"/>
      <c r="B898" s="26"/>
      <c r="C898" s="33"/>
      <c r="D898" s="7" t="str">
        <f t="shared" si="64"/>
        <v/>
      </c>
      <c r="E898" s="8" t="str">
        <f t="shared" si="65"/>
        <v/>
      </c>
      <c r="F898" s="18" t="str">
        <f t="shared" si="66"/>
        <v/>
      </c>
      <c r="G898" s="21" t="str">
        <f t="shared" si="67"/>
        <v/>
      </c>
      <c r="H898" s="9"/>
    </row>
    <row r="899" spans="1:8" ht="19.5" customHeight="1">
      <c r="A899" s="10"/>
      <c r="B899" s="27"/>
      <c r="C899" s="34"/>
      <c r="D899" s="11" t="str">
        <f t="shared" si="64"/>
        <v/>
      </c>
      <c r="E899" s="12" t="str">
        <f t="shared" si="65"/>
        <v/>
      </c>
      <c r="F899" s="19" t="str">
        <f t="shared" si="66"/>
        <v/>
      </c>
      <c r="G899" s="22" t="str">
        <f t="shared" si="67"/>
        <v/>
      </c>
      <c r="H899" s="13"/>
    </row>
    <row r="900" spans="1:8" ht="19.5" customHeight="1">
      <c r="A900" s="6"/>
      <c r="B900" s="26"/>
      <c r="C900" s="33"/>
      <c r="D900" s="7" t="str">
        <f t="shared" si="64"/>
        <v/>
      </c>
      <c r="E900" s="8" t="str">
        <f t="shared" si="65"/>
        <v/>
      </c>
      <c r="F900" s="18" t="str">
        <f t="shared" si="66"/>
        <v/>
      </c>
      <c r="G900" s="21" t="str">
        <f t="shared" si="67"/>
        <v/>
      </c>
      <c r="H900" s="9"/>
    </row>
    <row r="901" spans="1:8" ht="19.5" customHeight="1">
      <c r="A901" s="10"/>
      <c r="B901" s="27"/>
      <c r="C901" s="34"/>
      <c r="D901" s="11" t="str">
        <f t="shared" si="64"/>
        <v/>
      </c>
      <c r="E901" s="12" t="str">
        <f t="shared" si="65"/>
        <v/>
      </c>
      <c r="F901" s="19" t="str">
        <f t="shared" si="66"/>
        <v/>
      </c>
      <c r="G901" s="22" t="str">
        <f t="shared" si="67"/>
        <v/>
      </c>
      <c r="H901" s="13"/>
    </row>
    <row r="902" spans="1:8" ht="19.5" customHeight="1">
      <c r="A902" s="6"/>
      <c r="B902" s="26"/>
      <c r="C902" s="33"/>
      <c r="D902" s="7" t="str">
        <f t="shared" si="64"/>
        <v/>
      </c>
      <c r="E902" s="8" t="str">
        <f t="shared" si="65"/>
        <v/>
      </c>
      <c r="F902" s="18" t="str">
        <f t="shared" si="66"/>
        <v/>
      </c>
      <c r="G902" s="21" t="str">
        <f t="shared" si="67"/>
        <v/>
      </c>
      <c r="H902" s="9"/>
    </row>
    <row r="903" spans="1:8" ht="19.5" customHeight="1">
      <c r="A903" s="10"/>
      <c r="B903" s="27"/>
      <c r="C903" s="34"/>
      <c r="D903" s="11" t="str">
        <f t="shared" si="64"/>
        <v/>
      </c>
      <c r="E903" s="12" t="str">
        <f t="shared" si="65"/>
        <v/>
      </c>
      <c r="F903" s="19" t="str">
        <f t="shared" si="66"/>
        <v/>
      </c>
      <c r="G903" s="22" t="str">
        <f t="shared" si="67"/>
        <v/>
      </c>
      <c r="H903" s="13"/>
    </row>
    <row r="904" spans="1:8" ht="19.5" customHeight="1">
      <c r="A904" s="6"/>
      <c r="B904" s="26"/>
      <c r="C904" s="33"/>
      <c r="D904" s="7" t="str">
        <f t="shared" si="64"/>
        <v/>
      </c>
      <c r="E904" s="8" t="str">
        <f t="shared" si="65"/>
        <v/>
      </c>
      <c r="F904" s="18" t="str">
        <f t="shared" si="66"/>
        <v/>
      </c>
      <c r="G904" s="21" t="str">
        <f t="shared" si="67"/>
        <v/>
      </c>
      <c r="H904" s="9"/>
    </row>
    <row r="905" spans="1:8" ht="19.5" customHeight="1">
      <c r="A905" s="10"/>
      <c r="B905" s="27"/>
      <c r="C905" s="34"/>
      <c r="D905" s="11" t="str">
        <f t="shared" si="64"/>
        <v/>
      </c>
      <c r="E905" s="12" t="str">
        <f t="shared" si="65"/>
        <v/>
      </c>
      <c r="F905" s="19" t="str">
        <f t="shared" si="66"/>
        <v/>
      </c>
      <c r="G905" s="22" t="str">
        <f t="shared" si="67"/>
        <v/>
      </c>
      <c r="H905" s="13"/>
    </row>
    <row r="906" spans="1:8" ht="19.5" customHeight="1">
      <c r="A906" s="6"/>
      <c r="B906" s="26"/>
      <c r="C906" s="33"/>
      <c r="D906" s="7" t="str">
        <f t="shared" si="64"/>
        <v/>
      </c>
      <c r="E906" s="8" t="str">
        <f t="shared" si="65"/>
        <v/>
      </c>
      <c r="F906" s="18" t="str">
        <f t="shared" si="66"/>
        <v/>
      </c>
      <c r="G906" s="21" t="str">
        <f t="shared" si="67"/>
        <v/>
      </c>
      <c r="H906" s="9"/>
    </row>
    <row r="907" spans="1:8" ht="19.5" customHeight="1">
      <c r="A907" s="10"/>
      <c r="B907" s="27"/>
      <c r="C907" s="34"/>
      <c r="D907" s="11" t="str">
        <f t="shared" si="64"/>
        <v/>
      </c>
      <c r="E907" s="12" t="str">
        <f t="shared" si="65"/>
        <v/>
      </c>
      <c r="F907" s="19" t="str">
        <f t="shared" si="66"/>
        <v/>
      </c>
      <c r="G907" s="22" t="str">
        <f t="shared" si="67"/>
        <v/>
      </c>
      <c r="H907" s="13"/>
    </row>
    <row r="908" spans="1:8" ht="19.5" customHeight="1">
      <c r="A908" s="6"/>
      <c r="B908" s="26"/>
      <c r="C908" s="33"/>
      <c r="D908" s="7" t="str">
        <f t="shared" si="64"/>
        <v/>
      </c>
      <c r="E908" s="8" t="str">
        <f t="shared" si="65"/>
        <v/>
      </c>
      <c r="F908" s="18" t="str">
        <f t="shared" si="66"/>
        <v/>
      </c>
      <c r="G908" s="21" t="str">
        <f t="shared" si="67"/>
        <v/>
      </c>
      <c r="H908" s="9"/>
    </row>
    <row r="909" spans="1:8" ht="19.5" customHeight="1">
      <c r="A909" s="10"/>
      <c r="B909" s="27"/>
      <c r="C909" s="34"/>
      <c r="D909" s="11" t="str">
        <f t="shared" si="64"/>
        <v/>
      </c>
      <c r="E909" s="12" t="str">
        <f t="shared" si="65"/>
        <v/>
      </c>
      <c r="F909" s="19" t="str">
        <f t="shared" si="66"/>
        <v/>
      </c>
      <c r="G909" s="22" t="str">
        <f t="shared" si="67"/>
        <v/>
      </c>
      <c r="H909" s="13"/>
    </row>
    <row r="910" spans="1:8" ht="19.5" customHeight="1">
      <c r="A910" s="6"/>
      <c r="B910" s="26"/>
      <c r="C910" s="33"/>
      <c r="D910" s="7" t="str">
        <f t="shared" si="64"/>
        <v/>
      </c>
      <c r="E910" s="8" t="str">
        <f t="shared" si="65"/>
        <v/>
      </c>
      <c r="F910" s="18" t="str">
        <f t="shared" si="66"/>
        <v/>
      </c>
      <c r="G910" s="21" t="str">
        <f t="shared" si="67"/>
        <v/>
      </c>
      <c r="H910" s="9"/>
    </row>
    <row r="911" spans="1:8" ht="19.5" customHeight="1">
      <c r="A911" s="10"/>
      <c r="B911" s="27"/>
      <c r="C911" s="34"/>
      <c r="D911" s="11" t="str">
        <f t="shared" si="64"/>
        <v/>
      </c>
      <c r="E911" s="12" t="str">
        <f t="shared" si="65"/>
        <v/>
      </c>
      <c r="F911" s="19" t="str">
        <f t="shared" si="66"/>
        <v/>
      </c>
      <c r="G911" s="22" t="str">
        <f t="shared" si="67"/>
        <v/>
      </c>
      <c r="H911" s="13"/>
    </row>
    <row r="912" spans="1:8" ht="19.5" customHeight="1">
      <c r="A912" s="6"/>
      <c r="B912" s="26"/>
      <c r="C912" s="33"/>
      <c r="D912" s="7" t="str">
        <f t="shared" si="64"/>
        <v/>
      </c>
      <c r="E912" s="8" t="str">
        <f t="shared" si="65"/>
        <v/>
      </c>
      <c r="F912" s="18" t="str">
        <f t="shared" si="66"/>
        <v/>
      </c>
      <c r="G912" s="21" t="str">
        <f t="shared" si="67"/>
        <v/>
      </c>
      <c r="H912" s="9"/>
    </row>
    <row r="913" spans="1:8" ht="19.5" customHeight="1">
      <c r="A913" s="10"/>
      <c r="B913" s="27"/>
      <c r="C913" s="34"/>
      <c r="D913" s="11" t="str">
        <f t="shared" si="64"/>
        <v/>
      </c>
      <c r="E913" s="12" t="str">
        <f t="shared" si="65"/>
        <v/>
      </c>
      <c r="F913" s="19" t="str">
        <f t="shared" si="66"/>
        <v/>
      </c>
      <c r="G913" s="22" t="str">
        <f t="shared" si="67"/>
        <v/>
      </c>
      <c r="H913" s="13"/>
    </row>
    <row r="914" spans="1:8" ht="19.5" customHeight="1">
      <c r="A914" s="6"/>
      <c r="B914" s="26"/>
      <c r="C914" s="33"/>
      <c r="D914" s="7" t="str">
        <f t="shared" si="64"/>
        <v/>
      </c>
      <c r="E914" s="8" t="str">
        <f t="shared" si="65"/>
        <v/>
      </c>
      <c r="F914" s="18" t="str">
        <f t="shared" si="66"/>
        <v/>
      </c>
      <c r="G914" s="21" t="str">
        <f t="shared" si="67"/>
        <v/>
      </c>
      <c r="H914" s="9"/>
    </row>
    <row r="915" spans="1:8" ht="19.5" customHeight="1">
      <c r="A915" s="10"/>
      <c r="B915" s="27"/>
      <c r="C915" s="34"/>
      <c r="D915" s="11" t="str">
        <f t="shared" si="64"/>
        <v/>
      </c>
      <c r="E915" s="12" t="str">
        <f t="shared" si="65"/>
        <v/>
      </c>
      <c r="F915" s="19" t="str">
        <f t="shared" si="66"/>
        <v/>
      </c>
      <c r="G915" s="22" t="str">
        <f t="shared" si="67"/>
        <v/>
      </c>
      <c r="H915" s="13"/>
    </row>
    <row r="916" spans="1:8" ht="19.5" customHeight="1">
      <c r="A916" s="6"/>
      <c r="B916" s="26"/>
      <c r="C916" s="33"/>
      <c r="D916" s="7" t="str">
        <f t="shared" ref="D916:D979" si="68">IF(C916="","",C916*$B$1)</f>
        <v/>
      </c>
      <c r="E916" s="8" t="str">
        <f t="shared" ref="E916:E979" si="69">IF(C916="","",C916-D916)</f>
        <v/>
      </c>
      <c r="F916" s="18" t="str">
        <f t="shared" ref="F916:F979" si="70">IF(OR(B916="",C916=""),"",E916-B916)</f>
        <v/>
      </c>
      <c r="G916" s="21" t="str">
        <f t="shared" ref="G916:G979" si="71">IF(OR(B916="",B916=0),"",F916/B916)</f>
        <v/>
      </c>
      <c r="H916" s="9"/>
    </row>
    <row r="917" spans="1:8" ht="19.5" customHeight="1">
      <c r="A917" s="10"/>
      <c r="B917" s="27"/>
      <c r="C917" s="34"/>
      <c r="D917" s="11" t="str">
        <f t="shared" si="68"/>
        <v/>
      </c>
      <c r="E917" s="12" t="str">
        <f t="shared" si="69"/>
        <v/>
      </c>
      <c r="F917" s="19" t="str">
        <f t="shared" si="70"/>
        <v/>
      </c>
      <c r="G917" s="22" t="str">
        <f t="shared" si="71"/>
        <v/>
      </c>
      <c r="H917" s="13"/>
    </row>
    <row r="918" spans="1:8" ht="19.5" customHeight="1">
      <c r="A918" s="6"/>
      <c r="B918" s="26"/>
      <c r="C918" s="33"/>
      <c r="D918" s="7" t="str">
        <f t="shared" si="68"/>
        <v/>
      </c>
      <c r="E918" s="8" t="str">
        <f t="shared" si="69"/>
        <v/>
      </c>
      <c r="F918" s="18" t="str">
        <f t="shared" si="70"/>
        <v/>
      </c>
      <c r="G918" s="21" t="str">
        <f t="shared" si="71"/>
        <v/>
      </c>
      <c r="H918" s="9"/>
    </row>
    <row r="919" spans="1:8" ht="19.5" customHeight="1">
      <c r="A919" s="10"/>
      <c r="B919" s="27"/>
      <c r="C919" s="34"/>
      <c r="D919" s="11" t="str">
        <f t="shared" si="68"/>
        <v/>
      </c>
      <c r="E919" s="12" t="str">
        <f t="shared" si="69"/>
        <v/>
      </c>
      <c r="F919" s="19" t="str">
        <f t="shared" si="70"/>
        <v/>
      </c>
      <c r="G919" s="22" t="str">
        <f t="shared" si="71"/>
        <v/>
      </c>
      <c r="H919" s="13"/>
    </row>
    <row r="920" spans="1:8" ht="19.5" customHeight="1">
      <c r="A920" s="6"/>
      <c r="B920" s="26"/>
      <c r="C920" s="33"/>
      <c r="D920" s="7" t="str">
        <f t="shared" si="68"/>
        <v/>
      </c>
      <c r="E920" s="8" t="str">
        <f t="shared" si="69"/>
        <v/>
      </c>
      <c r="F920" s="18" t="str">
        <f t="shared" si="70"/>
        <v/>
      </c>
      <c r="G920" s="21" t="str">
        <f t="shared" si="71"/>
        <v/>
      </c>
      <c r="H920" s="9"/>
    </row>
    <row r="921" spans="1:8" ht="19.5" customHeight="1">
      <c r="A921" s="10"/>
      <c r="B921" s="27"/>
      <c r="C921" s="34"/>
      <c r="D921" s="11" t="str">
        <f t="shared" si="68"/>
        <v/>
      </c>
      <c r="E921" s="12" t="str">
        <f t="shared" si="69"/>
        <v/>
      </c>
      <c r="F921" s="19" t="str">
        <f t="shared" si="70"/>
        <v/>
      </c>
      <c r="G921" s="22" t="str">
        <f t="shared" si="71"/>
        <v/>
      </c>
      <c r="H921" s="13"/>
    </row>
    <row r="922" spans="1:8" ht="19.5" customHeight="1">
      <c r="A922" s="6"/>
      <c r="B922" s="26"/>
      <c r="C922" s="33"/>
      <c r="D922" s="7" t="str">
        <f t="shared" si="68"/>
        <v/>
      </c>
      <c r="E922" s="8" t="str">
        <f t="shared" si="69"/>
        <v/>
      </c>
      <c r="F922" s="18" t="str">
        <f t="shared" si="70"/>
        <v/>
      </c>
      <c r="G922" s="21" t="str">
        <f t="shared" si="71"/>
        <v/>
      </c>
      <c r="H922" s="9"/>
    </row>
    <row r="923" spans="1:8" ht="19.5" customHeight="1">
      <c r="A923" s="10"/>
      <c r="B923" s="27"/>
      <c r="C923" s="34"/>
      <c r="D923" s="11" t="str">
        <f t="shared" si="68"/>
        <v/>
      </c>
      <c r="E923" s="12" t="str">
        <f t="shared" si="69"/>
        <v/>
      </c>
      <c r="F923" s="19" t="str">
        <f t="shared" si="70"/>
        <v/>
      </c>
      <c r="G923" s="22" t="str">
        <f t="shared" si="71"/>
        <v/>
      </c>
      <c r="H923" s="13"/>
    </row>
    <row r="924" spans="1:8" ht="19.5" customHeight="1">
      <c r="A924" s="6"/>
      <c r="B924" s="26"/>
      <c r="C924" s="33"/>
      <c r="D924" s="7" t="str">
        <f t="shared" si="68"/>
        <v/>
      </c>
      <c r="E924" s="8" t="str">
        <f t="shared" si="69"/>
        <v/>
      </c>
      <c r="F924" s="18" t="str">
        <f t="shared" si="70"/>
        <v/>
      </c>
      <c r="G924" s="21" t="str">
        <f t="shared" si="71"/>
        <v/>
      </c>
      <c r="H924" s="9"/>
    </row>
    <row r="925" spans="1:8" ht="19.5" customHeight="1">
      <c r="A925" s="10"/>
      <c r="B925" s="27"/>
      <c r="C925" s="34"/>
      <c r="D925" s="11" t="str">
        <f t="shared" si="68"/>
        <v/>
      </c>
      <c r="E925" s="12" t="str">
        <f t="shared" si="69"/>
        <v/>
      </c>
      <c r="F925" s="19" t="str">
        <f t="shared" si="70"/>
        <v/>
      </c>
      <c r="G925" s="22" t="str">
        <f t="shared" si="71"/>
        <v/>
      </c>
      <c r="H925" s="13"/>
    </row>
    <row r="926" spans="1:8" ht="19.5" customHeight="1">
      <c r="A926" s="6"/>
      <c r="B926" s="26"/>
      <c r="C926" s="33"/>
      <c r="D926" s="7" t="str">
        <f t="shared" si="68"/>
        <v/>
      </c>
      <c r="E926" s="8" t="str">
        <f t="shared" si="69"/>
        <v/>
      </c>
      <c r="F926" s="18" t="str">
        <f t="shared" si="70"/>
        <v/>
      </c>
      <c r="G926" s="21" t="str">
        <f t="shared" si="71"/>
        <v/>
      </c>
      <c r="H926" s="9"/>
    </row>
    <row r="927" spans="1:8" ht="19.5" customHeight="1">
      <c r="A927" s="10"/>
      <c r="B927" s="27"/>
      <c r="C927" s="34"/>
      <c r="D927" s="11" t="str">
        <f t="shared" si="68"/>
        <v/>
      </c>
      <c r="E927" s="12" t="str">
        <f t="shared" si="69"/>
        <v/>
      </c>
      <c r="F927" s="19" t="str">
        <f t="shared" si="70"/>
        <v/>
      </c>
      <c r="G927" s="22" t="str">
        <f t="shared" si="71"/>
        <v/>
      </c>
      <c r="H927" s="13"/>
    </row>
    <row r="928" spans="1:8" ht="19.5" customHeight="1">
      <c r="A928" s="6"/>
      <c r="B928" s="26"/>
      <c r="C928" s="33"/>
      <c r="D928" s="7" t="str">
        <f t="shared" si="68"/>
        <v/>
      </c>
      <c r="E928" s="8" t="str">
        <f t="shared" si="69"/>
        <v/>
      </c>
      <c r="F928" s="18" t="str">
        <f t="shared" si="70"/>
        <v/>
      </c>
      <c r="G928" s="21" t="str">
        <f t="shared" si="71"/>
        <v/>
      </c>
      <c r="H928" s="9"/>
    </row>
    <row r="929" spans="1:8" ht="19.5" customHeight="1">
      <c r="A929" s="10"/>
      <c r="B929" s="27"/>
      <c r="C929" s="34"/>
      <c r="D929" s="11" t="str">
        <f t="shared" si="68"/>
        <v/>
      </c>
      <c r="E929" s="12" t="str">
        <f t="shared" si="69"/>
        <v/>
      </c>
      <c r="F929" s="19" t="str">
        <f t="shared" si="70"/>
        <v/>
      </c>
      <c r="G929" s="22" t="str">
        <f t="shared" si="71"/>
        <v/>
      </c>
      <c r="H929" s="13"/>
    </row>
    <row r="930" spans="1:8" ht="19.5" customHeight="1">
      <c r="A930" s="6"/>
      <c r="B930" s="26"/>
      <c r="C930" s="33"/>
      <c r="D930" s="7" t="str">
        <f t="shared" si="68"/>
        <v/>
      </c>
      <c r="E930" s="8" t="str">
        <f t="shared" si="69"/>
        <v/>
      </c>
      <c r="F930" s="18" t="str">
        <f t="shared" si="70"/>
        <v/>
      </c>
      <c r="G930" s="21" t="str">
        <f t="shared" si="71"/>
        <v/>
      </c>
      <c r="H930" s="9"/>
    </row>
    <row r="931" spans="1:8" ht="19.5" customHeight="1">
      <c r="A931" s="10"/>
      <c r="B931" s="27"/>
      <c r="C931" s="34"/>
      <c r="D931" s="11" t="str">
        <f t="shared" si="68"/>
        <v/>
      </c>
      <c r="E931" s="12" t="str">
        <f t="shared" si="69"/>
        <v/>
      </c>
      <c r="F931" s="19" t="str">
        <f t="shared" si="70"/>
        <v/>
      </c>
      <c r="G931" s="22" t="str">
        <f t="shared" si="71"/>
        <v/>
      </c>
      <c r="H931" s="13"/>
    </row>
    <row r="932" spans="1:8" ht="19.5" customHeight="1">
      <c r="A932" s="6"/>
      <c r="B932" s="26"/>
      <c r="C932" s="33"/>
      <c r="D932" s="7" t="str">
        <f t="shared" si="68"/>
        <v/>
      </c>
      <c r="E932" s="8" t="str">
        <f t="shared" si="69"/>
        <v/>
      </c>
      <c r="F932" s="18" t="str">
        <f t="shared" si="70"/>
        <v/>
      </c>
      <c r="G932" s="21" t="str">
        <f t="shared" si="71"/>
        <v/>
      </c>
      <c r="H932" s="9"/>
    </row>
    <row r="933" spans="1:8" ht="19.5" customHeight="1">
      <c r="A933" s="10"/>
      <c r="B933" s="27"/>
      <c r="C933" s="34"/>
      <c r="D933" s="11" t="str">
        <f t="shared" si="68"/>
        <v/>
      </c>
      <c r="E933" s="12" t="str">
        <f t="shared" si="69"/>
        <v/>
      </c>
      <c r="F933" s="19" t="str">
        <f t="shared" si="70"/>
        <v/>
      </c>
      <c r="G933" s="22" t="str">
        <f t="shared" si="71"/>
        <v/>
      </c>
      <c r="H933" s="13"/>
    </row>
    <row r="934" spans="1:8" ht="19.5" customHeight="1">
      <c r="A934" s="6"/>
      <c r="B934" s="26"/>
      <c r="C934" s="33"/>
      <c r="D934" s="7" t="str">
        <f t="shared" si="68"/>
        <v/>
      </c>
      <c r="E934" s="8" t="str">
        <f t="shared" si="69"/>
        <v/>
      </c>
      <c r="F934" s="18" t="str">
        <f t="shared" si="70"/>
        <v/>
      </c>
      <c r="G934" s="21" t="str">
        <f t="shared" si="71"/>
        <v/>
      </c>
      <c r="H934" s="9"/>
    </row>
    <row r="935" spans="1:8" ht="19.5" customHeight="1">
      <c r="A935" s="10"/>
      <c r="B935" s="27"/>
      <c r="C935" s="34"/>
      <c r="D935" s="11" t="str">
        <f t="shared" si="68"/>
        <v/>
      </c>
      <c r="E935" s="12" t="str">
        <f t="shared" si="69"/>
        <v/>
      </c>
      <c r="F935" s="19" t="str">
        <f t="shared" si="70"/>
        <v/>
      </c>
      <c r="G935" s="22" t="str">
        <f t="shared" si="71"/>
        <v/>
      </c>
      <c r="H935" s="13"/>
    </row>
    <row r="936" spans="1:8" ht="19.5" customHeight="1">
      <c r="A936" s="6"/>
      <c r="B936" s="26"/>
      <c r="C936" s="33"/>
      <c r="D936" s="7" t="str">
        <f t="shared" si="68"/>
        <v/>
      </c>
      <c r="E936" s="8" t="str">
        <f t="shared" si="69"/>
        <v/>
      </c>
      <c r="F936" s="18" t="str">
        <f t="shared" si="70"/>
        <v/>
      </c>
      <c r="G936" s="21" t="str">
        <f t="shared" si="71"/>
        <v/>
      </c>
      <c r="H936" s="9"/>
    </row>
    <row r="937" spans="1:8" ht="19.5" customHeight="1">
      <c r="A937" s="10"/>
      <c r="B937" s="27"/>
      <c r="C937" s="34"/>
      <c r="D937" s="11" t="str">
        <f t="shared" si="68"/>
        <v/>
      </c>
      <c r="E937" s="12" t="str">
        <f t="shared" si="69"/>
        <v/>
      </c>
      <c r="F937" s="19" t="str">
        <f t="shared" si="70"/>
        <v/>
      </c>
      <c r="G937" s="22" t="str">
        <f t="shared" si="71"/>
        <v/>
      </c>
      <c r="H937" s="13"/>
    </row>
    <row r="938" spans="1:8" ht="19.5" customHeight="1">
      <c r="A938" s="6"/>
      <c r="B938" s="26"/>
      <c r="C938" s="33"/>
      <c r="D938" s="7" t="str">
        <f t="shared" si="68"/>
        <v/>
      </c>
      <c r="E938" s="8" t="str">
        <f t="shared" si="69"/>
        <v/>
      </c>
      <c r="F938" s="18" t="str">
        <f t="shared" si="70"/>
        <v/>
      </c>
      <c r="G938" s="21" t="str">
        <f t="shared" si="71"/>
        <v/>
      </c>
      <c r="H938" s="9"/>
    </row>
    <row r="939" spans="1:8" ht="19.5" customHeight="1">
      <c r="A939" s="10"/>
      <c r="B939" s="27"/>
      <c r="C939" s="34"/>
      <c r="D939" s="11" t="str">
        <f t="shared" si="68"/>
        <v/>
      </c>
      <c r="E939" s="12" t="str">
        <f t="shared" si="69"/>
        <v/>
      </c>
      <c r="F939" s="19" t="str">
        <f t="shared" si="70"/>
        <v/>
      </c>
      <c r="G939" s="22" t="str">
        <f t="shared" si="71"/>
        <v/>
      </c>
      <c r="H939" s="13"/>
    </row>
    <row r="940" spans="1:8" ht="19.5" customHeight="1">
      <c r="A940" s="6"/>
      <c r="B940" s="26"/>
      <c r="C940" s="33"/>
      <c r="D940" s="7" t="str">
        <f t="shared" si="68"/>
        <v/>
      </c>
      <c r="E940" s="8" t="str">
        <f t="shared" si="69"/>
        <v/>
      </c>
      <c r="F940" s="18" t="str">
        <f t="shared" si="70"/>
        <v/>
      </c>
      <c r="G940" s="21" t="str">
        <f t="shared" si="71"/>
        <v/>
      </c>
      <c r="H940" s="9"/>
    </row>
    <row r="941" spans="1:8" ht="19.5" customHeight="1">
      <c r="A941" s="10"/>
      <c r="B941" s="27"/>
      <c r="C941" s="34"/>
      <c r="D941" s="11" t="str">
        <f t="shared" si="68"/>
        <v/>
      </c>
      <c r="E941" s="12" t="str">
        <f t="shared" si="69"/>
        <v/>
      </c>
      <c r="F941" s="19" t="str">
        <f t="shared" si="70"/>
        <v/>
      </c>
      <c r="G941" s="22" t="str">
        <f t="shared" si="71"/>
        <v/>
      </c>
      <c r="H941" s="13"/>
    </row>
    <row r="942" spans="1:8" ht="19.5" customHeight="1">
      <c r="A942" s="6"/>
      <c r="B942" s="26"/>
      <c r="C942" s="33"/>
      <c r="D942" s="7" t="str">
        <f t="shared" si="68"/>
        <v/>
      </c>
      <c r="E942" s="8" t="str">
        <f t="shared" si="69"/>
        <v/>
      </c>
      <c r="F942" s="18" t="str">
        <f t="shared" si="70"/>
        <v/>
      </c>
      <c r="G942" s="21" t="str">
        <f t="shared" si="71"/>
        <v/>
      </c>
      <c r="H942" s="9"/>
    </row>
    <row r="943" spans="1:8" ht="19.5" customHeight="1">
      <c r="A943" s="10"/>
      <c r="B943" s="27"/>
      <c r="C943" s="34"/>
      <c r="D943" s="11" t="str">
        <f t="shared" si="68"/>
        <v/>
      </c>
      <c r="E943" s="12" t="str">
        <f t="shared" si="69"/>
        <v/>
      </c>
      <c r="F943" s="19" t="str">
        <f t="shared" si="70"/>
        <v/>
      </c>
      <c r="G943" s="22" t="str">
        <f t="shared" si="71"/>
        <v/>
      </c>
      <c r="H943" s="13"/>
    </row>
    <row r="944" spans="1:8" ht="19.5" customHeight="1">
      <c r="A944" s="6"/>
      <c r="B944" s="26"/>
      <c r="C944" s="33"/>
      <c r="D944" s="7" t="str">
        <f t="shared" si="68"/>
        <v/>
      </c>
      <c r="E944" s="8" t="str">
        <f t="shared" si="69"/>
        <v/>
      </c>
      <c r="F944" s="18" t="str">
        <f t="shared" si="70"/>
        <v/>
      </c>
      <c r="G944" s="21" t="str">
        <f t="shared" si="71"/>
        <v/>
      </c>
      <c r="H944" s="9"/>
    </row>
    <row r="945" spans="1:8" ht="19.5" customHeight="1">
      <c r="A945" s="10"/>
      <c r="B945" s="27"/>
      <c r="C945" s="34"/>
      <c r="D945" s="11" t="str">
        <f t="shared" si="68"/>
        <v/>
      </c>
      <c r="E945" s="12" t="str">
        <f t="shared" si="69"/>
        <v/>
      </c>
      <c r="F945" s="19" t="str">
        <f t="shared" si="70"/>
        <v/>
      </c>
      <c r="G945" s="22" t="str">
        <f t="shared" si="71"/>
        <v/>
      </c>
      <c r="H945" s="13"/>
    </row>
    <row r="946" spans="1:8" ht="19.5" customHeight="1">
      <c r="A946" s="6"/>
      <c r="B946" s="26"/>
      <c r="C946" s="33"/>
      <c r="D946" s="7" t="str">
        <f t="shared" si="68"/>
        <v/>
      </c>
      <c r="E946" s="8" t="str">
        <f t="shared" si="69"/>
        <v/>
      </c>
      <c r="F946" s="18" t="str">
        <f t="shared" si="70"/>
        <v/>
      </c>
      <c r="G946" s="21" t="str">
        <f t="shared" si="71"/>
        <v/>
      </c>
      <c r="H946" s="9"/>
    </row>
    <row r="947" spans="1:8" ht="19.5" customHeight="1">
      <c r="A947" s="10"/>
      <c r="B947" s="27"/>
      <c r="C947" s="34"/>
      <c r="D947" s="11" t="str">
        <f t="shared" si="68"/>
        <v/>
      </c>
      <c r="E947" s="12" t="str">
        <f t="shared" si="69"/>
        <v/>
      </c>
      <c r="F947" s="19" t="str">
        <f t="shared" si="70"/>
        <v/>
      </c>
      <c r="G947" s="22" t="str">
        <f t="shared" si="71"/>
        <v/>
      </c>
      <c r="H947" s="13"/>
    </row>
    <row r="948" spans="1:8" ht="19.5" customHeight="1">
      <c r="A948" s="6"/>
      <c r="B948" s="26"/>
      <c r="C948" s="33"/>
      <c r="D948" s="7" t="str">
        <f t="shared" si="68"/>
        <v/>
      </c>
      <c r="E948" s="8" t="str">
        <f t="shared" si="69"/>
        <v/>
      </c>
      <c r="F948" s="18" t="str">
        <f t="shared" si="70"/>
        <v/>
      </c>
      <c r="G948" s="21" t="str">
        <f t="shared" si="71"/>
        <v/>
      </c>
      <c r="H948" s="9"/>
    </row>
    <row r="949" spans="1:8" ht="19.5" customHeight="1">
      <c r="A949" s="10"/>
      <c r="B949" s="27"/>
      <c r="C949" s="34"/>
      <c r="D949" s="11" t="str">
        <f t="shared" si="68"/>
        <v/>
      </c>
      <c r="E949" s="12" t="str">
        <f t="shared" si="69"/>
        <v/>
      </c>
      <c r="F949" s="19" t="str">
        <f t="shared" si="70"/>
        <v/>
      </c>
      <c r="G949" s="22" t="str">
        <f t="shared" si="71"/>
        <v/>
      </c>
      <c r="H949" s="13"/>
    </row>
    <row r="950" spans="1:8" ht="19.5" customHeight="1">
      <c r="A950" s="6"/>
      <c r="B950" s="26"/>
      <c r="C950" s="33"/>
      <c r="D950" s="7" t="str">
        <f t="shared" si="68"/>
        <v/>
      </c>
      <c r="E950" s="8" t="str">
        <f t="shared" si="69"/>
        <v/>
      </c>
      <c r="F950" s="18" t="str">
        <f t="shared" si="70"/>
        <v/>
      </c>
      <c r="G950" s="21" t="str">
        <f t="shared" si="71"/>
        <v/>
      </c>
      <c r="H950" s="9"/>
    </row>
    <row r="951" spans="1:8" ht="19.5" customHeight="1">
      <c r="A951" s="10"/>
      <c r="B951" s="27"/>
      <c r="C951" s="34"/>
      <c r="D951" s="11" t="str">
        <f t="shared" si="68"/>
        <v/>
      </c>
      <c r="E951" s="12" t="str">
        <f t="shared" si="69"/>
        <v/>
      </c>
      <c r="F951" s="19" t="str">
        <f t="shared" si="70"/>
        <v/>
      </c>
      <c r="G951" s="22" t="str">
        <f t="shared" si="71"/>
        <v/>
      </c>
      <c r="H951" s="13"/>
    </row>
    <row r="952" spans="1:8" ht="19.5" customHeight="1">
      <c r="A952" s="6"/>
      <c r="B952" s="26"/>
      <c r="C952" s="33"/>
      <c r="D952" s="7" t="str">
        <f t="shared" si="68"/>
        <v/>
      </c>
      <c r="E952" s="8" t="str">
        <f t="shared" si="69"/>
        <v/>
      </c>
      <c r="F952" s="18" t="str">
        <f t="shared" si="70"/>
        <v/>
      </c>
      <c r="G952" s="21" t="str">
        <f t="shared" si="71"/>
        <v/>
      </c>
      <c r="H952" s="9"/>
    </row>
    <row r="953" spans="1:8" ht="19.5" customHeight="1">
      <c r="A953" s="10"/>
      <c r="B953" s="27"/>
      <c r="C953" s="34"/>
      <c r="D953" s="11" t="str">
        <f t="shared" si="68"/>
        <v/>
      </c>
      <c r="E953" s="12" t="str">
        <f t="shared" si="69"/>
        <v/>
      </c>
      <c r="F953" s="19" t="str">
        <f t="shared" si="70"/>
        <v/>
      </c>
      <c r="G953" s="22" t="str">
        <f t="shared" si="71"/>
        <v/>
      </c>
      <c r="H953" s="13"/>
    </row>
    <row r="954" spans="1:8" ht="19.5" customHeight="1">
      <c r="A954" s="6"/>
      <c r="B954" s="26"/>
      <c r="C954" s="33"/>
      <c r="D954" s="7" t="str">
        <f t="shared" si="68"/>
        <v/>
      </c>
      <c r="E954" s="8" t="str">
        <f t="shared" si="69"/>
        <v/>
      </c>
      <c r="F954" s="18" t="str">
        <f t="shared" si="70"/>
        <v/>
      </c>
      <c r="G954" s="21" t="str">
        <f t="shared" si="71"/>
        <v/>
      </c>
      <c r="H954" s="9"/>
    </row>
    <row r="955" spans="1:8" ht="19.5" customHeight="1">
      <c r="A955" s="10"/>
      <c r="B955" s="27"/>
      <c r="C955" s="34"/>
      <c r="D955" s="11" t="str">
        <f t="shared" si="68"/>
        <v/>
      </c>
      <c r="E955" s="12" t="str">
        <f t="shared" si="69"/>
        <v/>
      </c>
      <c r="F955" s="19" t="str">
        <f t="shared" si="70"/>
        <v/>
      </c>
      <c r="G955" s="22" t="str">
        <f t="shared" si="71"/>
        <v/>
      </c>
      <c r="H955" s="13"/>
    </row>
    <row r="956" spans="1:8" ht="19.5" customHeight="1">
      <c r="A956" s="6"/>
      <c r="B956" s="26"/>
      <c r="C956" s="33"/>
      <c r="D956" s="7" t="str">
        <f t="shared" si="68"/>
        <v/>
      </c>
      <c r="E956" s="8" t="str">
        <f t="shared" si="69"/>
        <v/>
      </c>
      <c r="F956" s="18" t="str">
        <f t="shared" si="70"/>
        <v/>
      </c>
      <c r="G956" s="21" t="str">
        <f t="shared" si="71"/>
        <v/>
      </c>
      <c r="H956" s="9"/>
    </row>
    <row r="957" spans="1:8" ht="19.5" customHeight="1">
      <c r="A957" s="10"/>
      <c r="B957" s="27"/>
      <c r="C957" s="34"/>
      <c r="D957" s="11" t="str">
        <f t="shared" si="68"/>
        <v/>
      </c>
      <c r="E957" s="12" t="str">
        <f t="shared" si="69"/>
        <v/>
      </c>
      <c r="F957" s="19" t="str">
        <f t="shared" si="70"/>
        <v/>
      </c>
      <c r="G957" s="22" t="str">
        <f t="shared" si="71"/>
        <v/>
      </c>
      <c r="H957" s="13"/>
    </row>
    <row r="958" spans="1:8" ht="19.5" customHeight="1">
      <c r="A958" s="6"/>
      <c r="B958" s="26"/>
      <c r="C958" s="33"/>
      <c r="D958" s="7" t="str">
        <f t="shared" si="68"/>
        <v/>
      </c>
      <c r="E958" s="8" t="str">
        <f t="shared" si="69"/>
        <v/>
      </c>
      <c r="F958" s="18" t="str">
        <f t="shared" si="70"/>
        <v/>
      </c>
      <c r="G958" s="21" t="str">
        <f t="shared" si="71"/>
        <v/>
      </c>
      <c r="H958" s="9"/>
    </row>
    <row r="959" spans="1:8" ht="19.5" customHeight="1">
      <c r="A959" s="10"/>
      <c r="B959" s="27"/>
      <c r="C959" s="34"/>
      <c r="D959" s="11" t="str">
        <f t="shared" si="68"/>
        <v/>
      </c>
      <c r="E959" s="12" t="str">
        <f t="shared" si="69"/>
        <v/>
      </c>
      <c r="F959" s="19" t="str">
        <f t="shared" si="70"/>
        <v/>
      </c>
      <c r="G959" s="22" t="str">
        <f t="shared" si="71"/>
        <v/>
      </c>
      <c r="H959" s="13"/>
    </row>
    <row r="960" spans="1:8" ht="19.5" customHeight="1">
      <c r="A960" s="6"/>
      <c r="B960" s="26"/>
      <c r="C960" s="33"/>
      <c r="D960" s="7" t="str">
        <f t="shared" si="68"/>
        <v/>
      </c>
      <c r="E960" s="8" t="str">
        <f t="shared" si="69"/>
        <v/>
      </c>
      <c r="F960" s="18" t="str">
        <f t="shared" si="70"/>
        <v/>
      </c>
      <c r="G960" s="21" t="str">
        <f t="shared" si="71"/>
        <v/>
      </c>
      <c r="H960" s="9"/>
    </row>
    <row r="961" spans="1:8" ht="19.5" customHeight="1">
      <c r="A961" s="10"/>
      <c r="B961" s="27"/>
      <c r="C961" s="34"/>
      <c r="D961" s="11" t="str">
        <f t="shared" si="68"/>
        <v/>
      </c>
      <c r="E961" s="12" t="str">
        <f t="shared" si="69"/>
        <v/>
      </c>
      <c r="F961" s="19" t="str">
        <f t="shared" si="70"/>
        <v/>
      </c>
      <c r="G961" s="22" t="str">
        <f t="shared" si="71"/>
        <v/>
      </c>
      <c r="H961" s="13"/>
    </row>
    <row r="962" spans="1:8" ht="19.5" customHeight="1">
      <c r="A962" s="6"/>
      <c r="B962" s="26"/>
      <c r="C962" s="33"/>
      <c r="D962" s="7" t="str">
        <f t="shared" si="68"/>
        <v/>
      </c>
      <c r="E962" s="8" t="str">
        <f t="shared" si="69"/>
        <v/>
      </c>
      <c r="F962" s="18" t="str">
        <f t="shared" si="70"/>
        <v/>
      </c>
      <c r="G962" s="21" t="str">
        <f t="shared" si="71"/>
        <v/>
      </c>
      <c r="H962" s="9"/>
    </row>
    <row r="963" spans="1:8" ht="19.5" customHeight="1">
      <c r="A963" s="10"/>
      <c r="B963" s="27"/>
      <c r="C963" s="34"/>
      <c r="D963" s="11" t="str">
        <f t="shared" si="68"/>
        <v/>
      </c>
      <c r="E963" s="12" t="str">
        <f t="shared" si="69"/>
        <v/>
      </c>
      <c r="F963" s="19" t="str">
        <f t="shared" si="70"/>
        <v/>
      </c>
      <c r="G963" s="22" t="str">
        <f t="shared" si="71"/>
        <v/>
      </c>
      <c r="H963" s="13"/>
    </row>
    <row r="964" spans="1:8" ht="19.5" customHeight="1">
      <c r="A964" s="6"/>
      <c r="B964" s="26"/>
      <c r="C964" s="33"/>
      <c r="D964" s="7" t="str">
        <f t="shared" si="68"/>
        <v/>
      </c>
      <c r="E964" s="8" t="str">
        <f t="shared" si="69"/>
        <v/>
      </c>
      <c r="F964" s="18" t="str">
        <f t="shared" si="70"/>
        <v/>
      </c>
      <c r="G964" s="21" t="str">
        <f t="shared" si="71"/>
        <v/>
      </c>
      <c r="H964" s="9"/>
    </row>
    <row r="965" spans="1:8" ht="19.5" customHeight="1">
      <c r="A965" s="10"/>
      <c r="B965" s="27"/>
      <c r="C965" s="34"/>
      <c r="D965" s="11" t="str">
        <f t="shared" si="68"/>
        <v/>
      </c>
      <c r="E965" s="12" t="str">
        <f t="shared" si="69"/>
        <v/>
      </c>
      <c r="F965" s="19" t="str">
        <f t="shared" si="70"/>
        <v/>
      </c>
      <c r="G965" s="22" t="str">
        <f t="shared" si="71"/>
        <v/>
      </c>
      <c r="H965" s="13"/>
    </row>
    <row r="966" spans="1:8" ht="19.5" customHeight="1">
      <c r="A966" s="6"/>
      <c r="B966" s="26"/>
      <c r="C966" s="33"/>
      <c r="D966" s="7" t="str">
        <f t="shared" si="68"/>
        <v/>
      </c>
      <c r="E966" s="8" t="str">
        <f t="shared" si="69"/>
        <v/>
      </c>
      <c r="F966" s="18" t="str">
        <f t="shared" si="70"/>
        <v/>
      </c>
      <c r="G966" s="21" t="str">
        <f t="shared" si="71"/>
        <v/>
      </c>
      <c r="H966" s="9"/>
    </row>
    <row r="967" spans="1:8" ht="19.5" customHeight="1">
      <c r="A967" s="10"/>
      <c r="B967" s="27"/>
      <c r="C967" s="34"/>
      <c r="D967" s="11" t="str">
        <f t="shared" si="68"/>
        <v/>
      </c>
      <c r="E967" s="12" t="str">
        <f t="shared" si="69"/>
        <v/>
      </c>
      <c r="F967" s="19" t="str">
        <f t="shared" si="70"/>
        <v/>
      </c>
      <c r="G967" s="22" t="str">
        <f t="shared" si="71"/>
        <v/>
      </c>
      <c r="H967" s="13"/>
    </row>
    <row r="968" spans="1:8" ht="19.5" customHeight="1">
      <c r="A968" s="6"/>
      <c r="B968" s="26"/>
      <c r="C968" s="33"/>
      <c r="D968" s="7" t="str">
        <f t="shared" si="68"/>
        <v/>
      </c>
      <c r="E968" s="8" t="str">
        <f t="shared" si="69"/>
        <v/>
      </c>
      <c r="F968" s="18" t="str">
        <f t="shared" si="70"/>
        <v/>
      </c>
      <c r="G968" s="21" t="str">
        <f t="shared" si="71"/>
        <v/>
      </c>
      <c r="H968" s="9"/>
    </row>
    <row r="969" spans="1:8" ht="19.5" customHeight="1">
      <c r="A969" s="10"/>
      <c r="B969" s="27"/>
      <c r="C969" s="34"/>
      <c r="D969" s="11" t="str">
        <f t="shared" si="68"/>
        <v/>
      </c>
      <c r="E969" s="12" t="str">
        <f t="shared" si="69"/>
        <v/>
      </c>
      <c r="F969" s="19" t="str">
        <f t="shared" si="70"/>
        <v/>
      </c>
      <c r="G969" s="22" t="str">
        <f t="shared" si="71"/>
        <v/>
      </c>
      <c r="H969" s="13"/>
    </row>
    <row r="970" spans="1:8" ht="19.5" customHeight="1">
      <c r="A970" s="6"/>
      <c r="B970" s="26"/>
      <c r="C970" s="33"/>
      <c r="D970" s="7" t="str">
        <f t="shared" si="68"/>
        <v/>
      </c>
      <c r="E970" s="8" t="str">
        <f t="shared" si="69"/>
        <v/>
      </c>
      <c r="F970" s="18" t="str">
        <f t="shared" si="70"/>
        <v/>
      </c>
      <c r="G970" s="21" t="str">
        <f t="shared" si="71"/>
        <v/>
      </c>
      <c r="H970" s="9"/>
    </row>
    <row r="971" spans="1:8" ht="19.5" customHeight="1">
      <c r="A971" s="10"/>
      <c r="B971" s="27"/>
      <c r="C971" s="34"/>
      <c r="D971" s="11" t="str">
        <f t="shared" si="68"/>
        <v/>
      </c>
      <c r="E971" s="12" t="str">
        <f t="shared" si="69"/>
        <v/>
      </c>
      <c r="F971" s="19" t="str">
        <f t="shared" si="70"/>
        <v/>
      </c>
      <c r="G971" s="22" t="str">
        <f t="shared" si="71"/>
        <v/>
      </c>
      <c r="H971" s="13"/>
    </row>
    <row r="972" spans="1:8" ht="19.5" customHeight="1">
      <c r="A972" s="6"/>
      <c r="B972" s="26"/>
      <c r="C972" s="33"/>
      <c r="D972" s="7" t="str">
        <f t="shared" si="68"/>
        <v/>
      </c>
      <c r="E972" s="8" t="str">
        <f t="shared" si="69"/>
        <v/>
      </c>
      <c r="F972" s="18" t="str">
        <f t="shared" si="70"/>
        <v/>
      </c>
      <c r="G972" s="21" t="str">
        <f t="shared" si="71"/>
        <v/>
      </c>
      <c r="H972" s="9"/>
    </row>
    <row r="973" spans="1:8" ht="19.5" customHeight="1">
      <c r="A973" s="10"/>
      <c r="B973" s="27"/>
      <c r="C973" s="34"/>
      <c r="D973" s="11" t="str">
        <f t="shared" si="68"/>
        <v/>
      </c>
      <c r="E973" s="12" t="str">
        <f t="shared" si="69"/>
        <v/>
      </c>
      <c r="F973" s="19" t="str">
        <f t="shared" si="70"/>
        <v/>
      </c>
      <c r="G973" s="22" t="str">
        <f t="shared" si="71"/>
        <v/>
      </c>
      <c r="H973" s="13"/>
    </row>
    <row r="974" spans="1:8" ht="19.5" customHeight="1">
      <c r="A974" s="6"/>
      <c r="B974" s="26"/>
      <c r="C974" s="33"/>
      <c r="D974" s="7" t="str">
        <f t="shared" si="68"/>
        <v/>
      </c>
      <c r="E974" s="8" t="str">
        <f t="shared" si="69"/>
        <v/>
      </c>
      <c r="F974" s="18" t="str">
        <f t="shared" si="70"/>
        <v/>
      </c>
      <c r="G974" s="21" t="str">
        <f t="shared" si="71"/>
        <v/>
      </c>
      <c r="H974" s="9"/>
    </row>
    <row r="975" spans="1:8" ht="19.5" customHeight="1">
      <c r="A975" s="10"/>
      <c r="B975" s="27"/>
      <c r="C975" s="34"/>
      <c r="D975" s="11" t="str">
        <f t="shared" si="68"/>
        <v/>
      </c>
      <c r="E975" s="12" t="str">
        <f t="shared" si="69"/>
        <v/>
      </c>
      <c r="F975" s="19" t="str">
        <f t="shared" si="70"/>
        <v/>
      </c>
      <c r="G975" s="22" t="str">
        <f t="shared" si="71"/>
        <v/>
      </c>
      <c r="H975" s="13"/>
    </row>
    <row r="976" spans="1:8" ht="19.5" customHeight="1">
      <c r="A976" s="6"/>
      <c r="B976" s="26"/>
      <c r="C976" s="33"/>
      <c r="D976" s="7" t="str">
        <f t="shared" si="68"/>
        <v/>
      </c>
      <c r="E976" s="8" t="str">
        <f t="shared" si="69"/>
        <v/>
      </c>
      <c r="F976" s="18" t="str">
        <f t="shared" si="70"/>
        <v/>
      </c>
      <c r="G976" s="21" t="str">
        <f t="shared" si="71"/>
        <v/>
      </c>
      <c r="H976" s="9"/>
    </row>
    <row r="977" spans="1:8" ht="19.5" customHeight="1">
      <c r="A977" s="10"/>
      <c r="B977" s="27"/>
      <c r="C977" s="34"/>
      <c r="D977" s="11" t="str">
        <f t="shared" si="68"/>
        <v/>
      </c>
      <c r="E977" s="12" t="str">
        <f t="shared" si="69"/>
        <v/>
      </c>
      <c r="F977" s="19" t="str">
        <f t="shared" si="70"/>
        <v/>
      </c>
      <c r="G977" s="22" t="str">
        <f t="shared" si="71"/>
        <v/>
      </c>
      <c r="H977" s="13"/>
    </row>
    <row r="978" spans="1:8" ht="19.5" customHeight="1">
      <c r="A978" s="6"/>
      <c r="B978" s="26"/>
      <c r="C978" s="33"/>
      <c r="D978" s="7" t="str">
        <f t="shared" si="68"/>
        <v/>
      </c>
      <c r="E978" s="8" t="str">
        <f t="shared" si="69"/>
        <v/>
      </c>
      <c r="F978" s="18" t="str">
        <f t="shared" si="70"/>
        <v/>
      </c>
      <c r="G978" s="21" t="str">
        <f t="shared" si="71"/>
        <v/>
      </c>
      <c r="H978" s="9"/>
    </row>
    <row r="979" spans="1:8" ht="19.5" customHeight="1">
      <c r="A979" s="10"/>
      <c r="B979" s="27"/>
      <c r="C979" s="34"/>
      <c r="D979" s="11" t="str">
        <f t="shared" si="68"/>
        <v/>
      </c>
      <c r="E979" s="12" t="str">
        <f t="shared" si="69"/>
        <v/>
      </c>
      <c r="F979" s="19" t="str">
        <f t="shared" si="70"/>
        <v/>
      </c>
      <c r="G979" s="22" t="str">
        <f t="shared" si="71"/>
        <v/>
      </c>
      <c r="H979" s="13"/>
    </row>
    <row r="980" spans="1:8" ht="19.5" customHeight="1">
      <c r="A980" s="6"/>
      <c r="B980" s="26"/>
      <c r="C980" s="33"/>
      <c r="D980" s="7" t="str">
        <f t="shared" ref="D980:D1043" si="72">IF(C980="","",C980*$B$1)</f>
        <v/>
      </c>
      <c r="E980" s="8" t="str">
        <f t="shared" ref="E980:E1043" si="73">IF(C980="","",C980-D980)</f>
        <v/>
      </c>
      <c r="F980" s="18" t="str">
        <f t="shared" ref="F980:F1043" si="74">IF(OR(B980="",C980=""),"",E980-B980)</f>
        <v/>
      </c>
      <c r="G980" s="21" t="str">
        <f t="shared" ref="G980:G1043" si="75">IF(OR(B980="",B980=0),"",F980/B980)</f>
        <v/>
      </c>
      <c r="H980" s="9"/>
    </row>
    <row r="981" spans="1:8" ht="19.5" customHeight="1">
      <c r="A981" s="10"/>
      <c r="B981" s="27"/>
      <c r="C981" s="34"/>
      <c r="D981" s="11" t="str">
        <f t="shared" si="72"/>
        <v/>
      </c>
      <c r="E981" s="12" t="str">
        <f t="shared" si="73"/>
        <v/>
      </c>
      <c r="F981" s="19" t="str">
        <f t="shared" si="74"/>
        <v/>
      </c>
      <c r="G981" s="22" t="str">
        <f t="shared" si="75"/>
        <v/>
      </c>
      <c r="H981" s="13"/>
    </row>
    <row r="982" spans="1:8" ht="19.5" customHeight="1">
      <c r="A982" s="6"/>
      <c r="B982" s="26"/>
      <c r="C982" s="33"/>
      <c r="D982" s="7" t="str">
        <f t="shared" si="72"/>
        <v/>
      </c>
      <c r="E982" s="8" t="str">
        <f t="shared" si="73"/>
        <v/>
      </c>
      <c r="F982" s="18" t="str">
        <f t="shared" si="74"/>
        <v/>
      </c>
      <c r="G982" s="21" t="str">
        <f t="shared" si="75"/>
        <v/>
      </c>
      <c r="H982" s="9"/>
    </row>
    <row r="983" spans="1:8" ht="19.5" customHeight="1">
      <c r="A983" s="10"/>
      <c r="B983" s="27"/>
      <c r="C983" s="34"/>
      <c r="D983" s="11" t="str">
        <f t="shared" si="72"/>
        <v/>
      </c>
      <c r="E983" s="12" t="str">
        <f t="shared" si="73"/>
        <v/>
      </c>
      <c r="F983" s="19" t="str">
        <f t="shared" si="74"/>
        <v/>
      </c>
      <c r="G983" s="22" t="str">
        <f t="shared" si="75"/>
        <v/>
      </c>
      <c r="H983" s="13"/>
    </row>
    <row r="984" spans="1:8" ht="19.5" customHeight="1">
      <c r="A984" s="6"/>
      <c r="B984" s="26"/>
      <c r="C984" s="33"/>
      <c r="D984" s="7" t="str">
        <f t="shared" si="72"/>
        <v/>
      </c>
      <c r="E984" s="8" t="str">
        <f t="shared" si="73"/>
        <v/>
      </c>
      <c r="F984" s="18" t="str">
        <f t="shared" si="74"/>
        <v/>
      </c>
      <c r="G984" s="21" t="str">
        <f t="shared" si="75"/>
        <v/>
      </c>
      <c r="H984" s="9"/>
    </row>
    <row r="985" spans="1:8" ht="19.5" customHeight="1">
      <c r="A985" s="10"/>
      <c r="B985" s="27"/>
      <c r="C985" s="34"/>
      <c r="D985" s="11" t="str">
        <f t="shared" si="72"/>
        <v/>
      </c>
      <c r="E985" s="12" t="str">
        <f t="shared" si="73"/>
        <v/>
      </c>
      <c r="F985" s="19" t="str">
        <f t="shared" si="74"/>
        <v/>
      </c>
      <c r="G985" s="22" t="str">
        <f t="shared" si="75"/>
        <v/>
      </c>
      <c r="H985" s="13"/>
    </row>
    <row r="986" spans="1:8" ht="19.5" customHeight="1">
      <c r="A986" s="6"/>
      <c r="B986" s="26"/>
      <c r="C986" s="33"/>
      <c r="D986" s="7" t="str">
        <f t="shared" si="72"/>
        <v/>
      </c>
      <c r="E986" s="8" t="str">
        <f t="shared" si="73"/>
        <v/>
      </c>
      <c r="F986" s="18" t="str">
        <f t="shared" si="74"/>
        <v/>
      </c>
      <c r="G986" s="21" t="str">
        <f t="shared" si="75"/>
        <v/>
      </c>
      <c r="H986" s="9"/>
    </row>
    <row r="987" spans="1:8" ht="19.5" customHeight="1">
      <c r="A987" s="10"/>
      <c r="B987" s="27"/>
      <c r="C987" s="34"/>
      <c r="D987" s="11" t="str">
        <f t="shared" si="72"/>
        <v/>
      </c>
      <c r="E987" s="12" t="str">
        <f t="shared" si="73"/>
        <v/>
      </c>
      <c r="F987" s="19" t="str">
        <f t="shared" si="74"/>
        <v/>
      </c>
      <c r="G987" s="22" t="str">
        <f t="shared" si="75"/>
        <v/>
      </c>
      <c r="H987" s="13"/>
    </row>
    <row r="988" spans="1:8" ht="19.5" customHeight="1">
      <c r="A988" s="6"/>
      <c r="B988" s="26"/>
      <c r="C988" s="33"/>
      <c r="D988" s="7" t="str">
        <f t="shared" si="72"/>
        <v/>
      </c>
      <c r="E988" s="8" t="str">
        <f t="shared" si="73"/>
        <v/>
      </c>
      <c r="F988" s="18" t="str">
        <f t="shared" si="74"/>
        <v/>
      </c>
      <c r="G988" s="21" t="str">
        <f t="shared" si="75"/>
        <v/>
      </c>
      <c r="H988" s="9"/>
    </row>
    <row r="989" spans="1:8" ht="19.5" customHeight="1">
      <c r="A989" s="10"/>
      <c r="B989" s="27"/>
      <c r="C989" s="34"/>
      <c r="D989" s="11" t="str">
        <f t="shared" si="72"/>
        <v/>
      </c>
      <c r="E989" s="12" t="str">
        <f t="shared" si="73"/>
        <v/>
      </c>
      <c r="F989" s="19" t="str">
        <f t="shared" si="74"/>
        <v/>
      </c>
      <c r="G989" s="22" t="str">
        <f t="shared" si="75"/>
        <v/>
      </c>
      <c r="H989" s="13"/>
    </row>
    <row r="990" spans="1:8" ht="19.5" customHeight="1">
      <c r="A990" s="6"/>
      <c r="B990" s="26"/>
      <c r="C990" s="33"/>
      <c r="D990" s="7" t="str">
        <f t="shared" si="72"/>
        <v/>
      </c>
      <c r="E990" s="8" t="str">
        <f t="shared" si="73"/>
        <v/>
      </c>
      <c r="F990" s="18" t="str">
        <f t="shared" si="74"/>
        <v/>
      </c>
      <c r="G990" s="21" t="str">
        <f t="shared" si="75"/>
        <v/>
      </c>
      <c r="H990" s="9"/>
    </row>
    <row r="991" spans="1:8" ht="19.5" customHeight="1">
      <c r="A991" s="10"/>
      <c r="B991" s="27"/>
      <c r="C991" s="34"/>
      <c r="D991" s="11" t="str">
        <f t="shared" si="72"/>
        <v/>
      </c>
      <c r="E991" s="12" t="str">
        <f t="shared" si="73"/>
        <v/>
      </c>
      <c r="F991" s="19" t="str">
        <f t="shared" si="74"/>
        <v/>
      </c>
      <c r="G991" s="22" t="str">
        <f t="shared" si="75"/>
        <v/>
      </c>
      <c r="H991" s="13"/>
    </row>
    <row r="992" spans="1:8" ht="19.5" customHeight="1">
      <c r="A992" s="6"/>
      <c r="B992" s="26"/>
      <c r="C992" s="33"/>
      <c r="D992" s="7" t="str">
        <f t="shared" si="72"/>
        <v/>
      </c>
      <c r="E992" s="8" t="str">
        <f t="shared" si="73"/>
        <v/>
      </c>
      <c r="F992" s="18" t="str">
        <f t="shared" si="74"/>
        <v/>
      </c>
      <c r="G992" s="21" t="str">
        <f t="shared" si="75"/>
        <v/>
      </c>
      <c r="H992" s="9"/>
    </row>
    <row r="993" spans="1:8" ht="19.5" customHeight="1">
      <c r="A993" s="10"/>
      <c r="B993" s="27"/>
      <c r="C993" s="34"/>
      <c r="D993" s="11" t="str">
        <f t="shared" si="72"/>
        <v/>
      </c>
      <c r="E993" s="12" t="str">
        <f t="shared" si="73"/>
        <v/>
      </c>
      <c r="F993" s="19" t="str">
        <f t="shared" si="74"/>
        <v/>
      </c>
      <c r="G993" s="22" t="str">
        <f t="shared" si="75"/>
        <v/>
      </c>
      <c r="H993" s="13"/>
    </row>
    <row r="994" spans="1:8" ht="19.5" customHeight="1">
      <c r="A994" s="6"/>
      <c r="B994" s="26"/>
      <c r="C994" s="33"/>
      <c r="D994" s="7" t="str">
        <f t="shared" si="72"/>
        <v/>
      </c>
      <c r="E994" s="8" t="str">
        <f t="shared" si="73"/>
        <v/>
      </c>
      <c r="F994" s="18" t="str">
        <f t="shared" si="74"/>
        <v/>
      </c>
      <c r="G994" s="21" t="str">
        <f t="shared" si="75"/>
        <v/>
      </c>
      <c r="H994" s="9"/>
    </row>
    <row r="995" spans="1:8" ht="19.5" customHeight="1">
      <c r="A995" s="10"/>
      <c r="B995" s="27"/>
      <c r="C995" s="34"/>
      <c r="D995" s="11" t="str">
        <f t="shared" si="72"/>
        <v/>
      </c>
      <c r="E995" s="12" t="str">
        <f t="shared" si="73"/>
        <v/>
      </c>
      <c r="F995" s="19" t="str">
        <f t="shared" si="74"/>
        <v/>
      </c>
      <c r="G995" s="22" t="str">
        <f t="shared" si="75"/>
        <v/>
      </c>
      <c r="H995" s="13"/>
    </row>
    <row r="996" spans="1:8" ht="19.5" customHeight="1">
      <c r="A996" s="6"/>
      <c r="B996" s="26"/>
      <c r="C996" s="33"/>
      <c r="D996" s="7" t="str">
        <f t="shared" si="72"/>
        <v/>
      </c>
      <c r="E996" s="8" t="str">
        <f t="shared" si="73"/>
        <v/>
      </c>
      <c r="F996" s="18" t="str">
        <f t="shared" si="74"/>
        <v/>
      </c>
      <c r="G996" s="21" t="str">
        <f t="shared" si="75"/>
        <v/>
      </c>
      <c r="H996" s="9"/>
    </row>
    <row r="997" spans="1:8" ht="19.5" customHeight="1">
      <c r="A997" s="10"/>
      <c r="B997" s="27"/>
      <c r="C997" s="34"/>
      <c r="D997" s="11" t="str">
        <f t="shared" si="72"/>
        <v/>
      </c>
      <c r="E997" s="12" t="str">
        <f t="shared" si="73"/>
        <v/>
      </c>
      <c r="F997" s="19" t="str">
        <f t="shared" si="74"/>
        <v/>
      </c>
      <c r="G997" s="22" t="str">
        <f t="shared" si="75"/>
        <v/>
      </c>
      <c r="H997" s="13"/>
    </row>
    <row r="998" spans="1:8" ht="19.5" customHeight="1">
      <c r="A998" s="6"/>
      <c r="B998" s="26"/>
      <c r="C998" s="33"/>
      <c r="D998" s="7" t="str">
        <f t="shared" si="72"/>
        <v/>
      </c>
      <c r="E998" s="8" t="str">
        <f t="shared" si="73"/>
        <v/>
      </c>
      <c r="F998" s="18" t="str">
        <f t="shared" si="74"/>
        <v/>
      </c>
      <c r="G998" s="21" t="str">
        <f t="shared" si="75"/>
        <v/>
      </c>
      <c r="H998" s="9"/>
    </row>
    <row r="999" spans="1:8" ht="19.5" customHeight="1">
      <c r="A999" s="10"/>
      <c r="B999" s="27"/>
      <c r="C999" s="34"/>
      <c r="D999" s="11" t="str">
        <f t="shared" si="72"/>
        <v/>
      </c>
      <c r="E999" s="12" t="str">
        <f t="shared" si="73"/>
        <v/>
      </c>
      <c r="F999" s="19" t="str">
        <f t="shared" si="74"/>
        <v/>
      </c>
      <c r="G999" s="22" t="str">
        <f t="shared" si="75"/>
        <v/>
      </c>
      <c r="H999" s="13"/>
    </row>
    <row r="1000" spans="1:8" ht="19.5" customHeight="1">
      <c r="A1000" s="6"/>
      <c r="B1000" s="26"/>
      <c r="C1000" s="33"/>
      <c r="D1000" s="7" t="str">
        <f t="shared" si="72"/>
        <v/>
      </c>
      <c r="E1000" s="8" t="str">
        <f t="shared" si="73"/>
        <v/>
      </c>
      <c r="F1000" s="18" t="str">
        <f t="shared" si="74"/>
        <v/>
      </c>
      <c r="G1000" s="21" t="str">
        <f t="shared" si="75"/>
        <v/>
      </c>
      <c r="H1000" s="9"/>
    </row>
    <row r="1001" spans="1:8" ht="19.5" customHeight="1">
      <c r="A1001" s="10"/>
      <c r="B1001" s="27"/>
      <c r="C1001" s="34"/>
      <c r="D1001" s="11" t="str">
        <f t="shared" si="72"/>
        <v/>
      </c>
      <c r="E1001" s="12" t="str">
        <f t="shared" si="73"/>
        <v/>
      </c>
      <c r="F1001" s="19" t="str">
        <f t="shared" si="74"/>
        <v/>
      </c>
      <c r="G1001" s="22" t="str">
        <f t="shared" si="75"/>
        <v/>
      </c>
      <c r="H1001" s="13"/>
    </row>
    <row r="1002" spans="1:8" ht="19.5" customHeight="1">
      <c r="A1002" s="6"/>
      <c r="B1002" s="26"/>
      <c r="C1002" s="33"/>
      <c r="D1002" s="7" t="str">
        <f t="shared" si="72"/>
        <v/>
      </c>
      <c r="E1002" s="8" t="str">
        <f t="shared" si="73"/>
        <v/>
      </c>
      <c r="F1002" s="18" t="str">
        <f t="shared" si="74"/>
        <v/>
      </c>
      <c r="G1002" s="21" t="str">
        <f t="shared" si="75"/>
        <v/>
      </c>
      <c r="H1002" s="9"/>
    </row>
    <row r="1003" spans="1:8" ht="19.5" customHeight="1">
      <c r="A1003" s="10"/>
      <c r="B1003" s="27"/>
      <c r="C1003" s="34"/>
      <c r="D1003" s="11" t="str">
        <f t="shared" si="72"/>
        <v/>
      </c>
      <c r="E1003" s="12" t="str">
        <f t="shared" si="73"/>
        <v/>
      </c>
      <c r="F1003" s="19" t="str">
        <f t="shared" si="74"/>
        <v/>
      </c>
      <c r="G1003" s="22" t="str">
        <f t="shared" si="75"/>
        <v/>
      </c>
      <c r="H1003" s="13"/>
    </row>
    <row r="1004" spans="1:8" ht="19.5" customHeight="1">
      <c r="A1004" s="6"/>
      <c r="B1004" s="26"/>
      <c r="C1004" s="33"/>
      <c r="D1004" s="7" t="str">
        <f t="shared" si="72"/>
        <v/>
      </c>
      <c r="E1004" s="8" t="str">
        <f t="shared" si="73"/>
        <v/>
      </c>
      <c r="F1004" s="18" t="str">
        <f t="shared" si="74"/>
        <v/>
      </c>
      <c r="G1004" s="21" t="str">
        <f t="shared" si="75"/>
        <v/>
      </c>
      <c r="H1004" s="9"/>
    </row>
    <row r="1005" spans="1:8" ht="19.5" customHeight="1">
      <c r="A1005" s="10"/>
      <c r="B1005" s="27"/>
      <c r="C1005" s="34"/>
      <c r="D1005" s="11" t="str">
        <f t="shared" si="72"/>
        <v/>
      </c>
      <c r="E1005" s="12" t="str">
        <f t="shared" si="73"/>
        <v/>
      </c>
      <c r="F1005" s="19" t="str">
        <f t="shared" si="74"/>
        <v/>
      </c>
      <c r="G1005" s="22" t="str">
        <f t="shared" si="75"/>
        <v/>
      </c>
      <c r="H1005" s="13"/>
    </row>
    <row r="1006" spans="1:8" ht="19.5" customHeight="1">
      <c r="A1006" s="6"/>
      <c r="B1006" s="26"/>
      <c r="C1006" s="33"/>
      <c r="D1006" s="7" t="str">
        <f t="shared" si="72"/>
        <v/>
      </c>
      <c r="E1006" s="8" t="str">
        <f t="shared" si="73"/>
        <v/>
      </c>
      <c r="F1006" s="18" t="str">
        <f t="shared" si="74"/>
        <v/>
      </c>
      <c r="G1006" s="21" t="str">
        <f t="shared" si="75"/>
        <v/>
      </c>
      <c r="H1006" s="9"/>
    </row>
    <row r="1007" spans="1:8" ht="19.5" customHeight="1">
      <c r="A1007" s="10"/>
      <c r="B1007" s="27"/>
      <c r="C1007" s="34"/>
      <c r="D1007" s="11" t="str">
        <f t="shared" si="72"/>
        <v/>
      </c>
      <c r="E1007" s="12" t="str">
        <f t="shared" si="73"/>
        <v/>
      </c>
      <c r="F1007" s="19" t="str">
        <f t="shared" si="74"/>
        <v/>
      </c>
      <c r="G1007" s="22" t="str">
        <f t="shared" si="75"/>
        <v/>
      </c>
      <c r="H1007" s="13"/>
    </row>
    <row r="1008" spans="1:8" ht="19.5" customHeight="1">
      <c r="A1008" s="6"/>
      <c r="B1008" s="26"/>
      <c r="C1008" s="33"/>
      <c r="D1008" s="7" t="str">
        <f t="shared" si="72"/>
        <v/>
      </c>
      <c r="E1008" s="8" t="str">
        <f t="shared" si="73"/>
        <v/>
      </c>
      <c r="F1008" s="18" t="str">
        <f t="shared" si="74"/>
        <v/>
      </c>
      <c r="G1008" s="21" t="str">
        <f t="shared" si="75"/>
        <v/>
      </c>
      <c r="H1008" s="9"/>
    </row>
    <row r="1009" spans="1:8" ht="19.5" customHeight="1">
      <c r="A1009" s="10"/>
      <c r="B1009" s="27"/>
      <c r="C1009" s="34"/>
      <c r="D1009" s="11" t="str">
        <f t="shared" si="72"/>
        <v/>
      </c>
      <c r="E1009" s="12" t="str">
        <f t="shared" si="73"/>
        <v/>
      </c>
      <c r="F1009" s="19" t="str">
        <f t="shared" si="74"/>
        <v/>
      </c>
      <c r="G1009" s="22" t="str">
        <f t="shared" si="75"/>
        <v/>
      </c>
      <c r="H1009" s="13"/>
    </row>
    <row r="1010" spans="1:8" ht="19.5" customHeight="1">
      <c r="A1010" s="6"/>
      <c r="B1010" s="26"/>
      <c r="C1010" s="33"/>
      <c r="D1010" s="7" t="str">
        <f t="shared" si="72"/>
        <v/>
      </c>
      <c r="E1010" s="8" t="str">
        <f t="shared" si="73"/>
        <v/>
      </c>
      <c r="F1010" s="18" t="str">
        <f t="shared" si="74"/>
        <v/>
      </c>
      <c r="G1010" s="21" t="str">
        <f t="shared" si="75"/>
        <v/>
      </c>
      <c r="H1010" s="9"/>
    </row>
    <row r="1011" spans="1:8" ht="19.5" customHeight="1">
      <c r="A1011" s="10"/>
      <c r="B1011" s="27"/>
      <c r="C1011" s="34"/>
      <c r="D1011" s="11" t="str">
        <f t="shared" si="72"/>
        <v/>
      </c>
      <c r="E1011" s="12" t="str">
        <f t="shared" si="73"/>
        <v/>
      </c>
      <c r="F1011" s="19" t="str">
        <f t="shared" si="74"/>
        <v/>
      </c>
      <c r="G1011" s="22" t="str">
        <f t="shared" si="75"/>
        <v/>
      </c>
      <c r="H1011" s="13"/>
    </row>
    <row r="1012" spans="1:8" ht="19.5" customHeight="1">
      <c r="A1012" s="6"/>
      <c r="B1012" s="26"/>
      <c r="C1012" s="33"/>
      <c r="D1012" s="7" t="str">
        <f t="shared" si="72"/>
        <v/>
      </c>
      <c r="E1012" s="8" t="str">
        <f t="shared" si="73"/>
        <v/>
      </c>
      <c r="F1012" s="18" t="str">
        <f t="shared" si="74"/>
        <v/>
      </c>
      <c r="G1012" s="21" t="str">
        <f t="shared" si="75"/>
        <v/>
      </c>
      <c r="H1012" s="9"/>
    </row>
    <row r="1013" spans="1:8" ht="19.5" customHeight="1">
      <c r="A1013" s="10"/>
      <c r="B1013" s="27"/>
      <c r="C1013" s="34"/>
      <c r="D1013" s="11" t="str">
        <f t="shared" si="72"/>
        <v/>
      </c>
      <c r="E1013" s="12" t="str">
        <f t="shared" si="73"/>
        <v/>
      </c>
      <c r="F1013" s="19" t="str">
        <f t="shared" si="74"/>
        <v/>
      </c>
      <c r="G1013" s="22" t="str">
        <f t="shared" si="75"/>
        <v/>
      </c>
      <c r="H1013" s="13"/>
    </row>
    <row r="1014" spans="1:8" ht="19.5" customHeight="1">
      <c r="A1014" s="6"/>
      <c r="B1014" s="26"/>
      <c r="C1014" s="33"/>
      <c r="D1014" s="7" t="str">
        <f t="shared" si="72"/>
        <v/>
      </c>
      <c r="E1014" s="8" t="str">
        <f t="shared" si="73"/>
        <v/>
      </c>
      <c r="F1014" s="18" t="str">
        <f t="shared" si="74"/>
        <v/>
      </c>
      <c r="G1014" s="21" t="str">
        <f t="shared" si="75"/>
        <v/>
      </c>
      <c r="H1014" s="9"/>
    </row>
    <row r="1015" spans="1:8" ht="19.5" customHeight="1">
      <c r="A1015" s="10"/>
      <c r="B1015" s="27"/>
      <c r="C1015" s="34"/>
      <c r="D1015" s="11" t="str">
        <f t="shared" si="72"/>
        <v/>
      </c>
      <c r="E1015" s="12" t="str">
        <f t="shared" si="73"/>
        <v/>
      </c>
      <c r="F1015" s="19" t="str">
        <f t="shared" si="74"/>
        <v/>
      </c>
      <c r="G1015" s="22" t="str">
        <f t="shared" si="75"/>
        <v/>
      </c>
      <c r="H1015" s="13"/>
    </row>
    <row r="1016" spans="1:8" ht="19.5" customHeight="1">
      <c r="A1016" s="6"/>
      <c r="B1016" s="26"/>
      <c r="C1016" s="33"/>
      <c r="D1016" s="7" t="str">
        <f t="shared" si="72"/>
        <v/>
      </c>
      <c r="E1016" s="8" t="str">
        <f t="shared" si="73"/>
        <v/>
      </c>
      <c r="F1016" s="18" t="str">
        <f t="shared" si="74"/>
        <v/>
      </c>
      <c r="G1016" s="21" t="str">
        <f t="shared" si="75"/>
        <v/>
      </c>
      <c r="H1016" s="9"/>
    </row>
    <row r="1017" spans="1:8" ht="19.5" customHeight="1">
      <c r="A1017" s="10"/>
      <c r="B1017" s="27"/>
      <c r="C1017" s="34"/>
      <c r="D1017" s="11" t="str">
        <f t="shared" si="72"/>
        <v/>
      </c>
      <c r="E1017" s="12" t="str">
        <f t="shared" si="73"/>
        <v/>
      </c>
      <c r="F1017" s="19" t="str">
        <f t="shared" si="74"/>
        <v/>
      </c>
      <c r="G1017" s="22" t="str">
        <f t="shared" si="75"/>
        <v/>
      </c>
      <c r="H1017" s="13"/>
    </row>
    <row r="1018" spans="1:8" ht="19.5" customHeight="1">
      <c r="A1018" s="6"/>
      <c r="B1018" s="26"/>
      <c r="C1018" s="33"/>
      <c r="D1018" s="7" t="str">
        <f t="shared" si="72"/>
        <v/>
      </c>
      <c r="E1018" s="8" t="str">
        <f t="shared" si="73"/>
        <v/>
      </c>
      <c r="F1018" s="18" t="str">
        <f t="shared" si="74"/>
        <v/>
      </c>
      <c r="G1018" s="21" t="str">
        <f t="shared" si="75"/>
        <v/>
      </c>
      <c r="H1018" s="9"/>
    </row>
    <row r="1019" spans="1:8" ht="19.5" customHeight="1">
      <c r="A1019" s="10"/>
      <c r="B1019" s="27"/>
      <c r="C1019" s="34"/>
      <c r="D1019" s="11" t="str">
        <f t="shared" si="72"/>
        <v/>
      </c>
      <c r="E1019" s="12" t="str">
        <f t="shared" si="73"/>
        <v/>
      </c>
      <c r="F1019" s="19" t="str">
        <f t="shared" si="74"/>
        <v/>
      </c>
      <c r="G1019" s="22" t="str">
        <f t="shared" si="75"/>
        <v/>
      </c>
      <c r="H1019" s="13"/>
    </row>
    <row r="1020" spans="1:8" ht="19.5" customHeight="1">
      <c r="A1020" s="6"/>
      <c r="B1020" s="26"/>
      <c r="C1020" s="33"/>
      <c r="D1020" s="7" t="str">
        <f t="shared" si="72"/>
        <v/>
      </c>
      <c r="E1020" s="8" t="str">
        <f t="shared" si="73"/>
        <v/>
      </c>
      <c r="F1020" s="18" t="str">
        <f t="shared" si="74"/>
        <v/>
      </c>
      <c r="G1020" s="21" t="str">
        <f t="shared" si="75"/>
        <v/>
      </c>
      <c r="H1020" s="9"/>
    </row>
    <row r="1021" spans="1:8" ht="19.5" customHeight="1">
      <c r="A1021" s="10"/>
      <c r="B1021" s="27"/>
      <c r="C1021" s="34"/>
      <c r="D1021" s="11" t="str">
        <f t="shared" si="72"/>
        <v/>
      </c>
      <c r="E1021" s="12" t="str">
        <f t="shared" si="73"/>
        <v/>
      </c>
      <c r="F1021" s="19" t="str">
        <f t="shared" si="74"/>
        <v/>
      </c>
      <c r="G1021" s="22" t="str">
        <f t="shared" si="75"/>
        <v/>
      </c>
      <c r="H1021" s="13"/>
    </row>
    <row r="1022" spans="1:8" ht="19.5" customHeight="1">
      <c r="A1022" s="6"/>
      <c r="B1022" s="26"/>
      <c r="C1022" s="33"/>
      <c r="D1022" s="7" t="str">
        <f t="shared" si="72"/>
        <v/>
      </c>
      <c r="E1022" s="8" t="str">
        <f t="shared" si="73"/>
        <v/>
      </c>
      <c r="F1022" s="18" t="str">
        <f t="shared" si="74"/>
        <v/>
      </c>
      <c r="G1022" s="21" t="str">
        <f t="shared" si="75"/>
        <v/>
      </c>
      <c r="H1022" s="9"/>
    </row>
    <row r="1023" spans="1:8" ht="19.5" customHeight="1">
      <c r="A1023" s="10"/>
      <c r="B1023" s="27"/>
      <c r="C1023" s="34"/>
      <c r="D1023" s="11" t="str">
        <f t="shared" si="72"/>
        <v/>
      </c>
      <c r="E1023" s="12" t="str">
        <f t="shared" si="73"/>
        <v/>
      </c>
      <c r="F1023" s="19" t="str">
        <f t="shared" si="74"/>
        <v/>
      </c>
      <c r="G1023" s="22" t="str">
        <f t="shared" si="75"/>
        <v/>
      </c>
      <c r="H1023" s="13"/>
    </row>
    <row r="1024" spans="1:8" ht="19.5" customHeight="1">
      <c r="A1024" s="6"/>
      <c r="B1024" s="26"/>
      <c r="C1024" s="33"/>
      <c r="D1024" s="7" t="str">
        <f t="shared" si="72"/>
        <v/>
      </c>
      <c r="E1024" s="8" t="str">
        <f t="shared" si="73"/>
        <v/>
      </c>
      <c r="F1024" s="18" t="str">
        <f t="shared" si="74"/>
        <v/>
      </c>
      <c r="G1024" s="21" t="str">
        <f t="shared" si="75"/>
        <v/>
      </c>
      <c r="H1024" s="9"/>
    </row>
    <row r="1025" spans="1:8" ht="19.5" customHeight="1">
      <c r="A1025" s="10"/>
      <c r="B1025" s="27"/>
      <c r="C1025" s="34"/>
      <c r="D1025" s="11" t="str">
        <f t="shared" si="72"/>
        <v/>
      </c>
      <c r="E1025" s="12" t="str">
        <f t="shared" si="73"/>
        <v/>
      </c>
      <c r="F1025" s="19" t="str">
        <f t="shared" si="74"/>
        <v/>
      </c>
      <c r="G1025" s="22" t="str">
        <f t="shared" si="75"/>
        <v/>
      </c>
      <c r="H1025" s="13"/>
    </row>
    <row r="1026" spans="1:8" ht="19.5" customHeight="1">
      <c r="A1026" s="6"/>
      <c r="B1026" s="26"/>
      <c r="C1026" s="33"/>
      <c r="D1026" s="7" t="str">
        <f t="shared" si="72"/>
        <v/>
      </c>
      <c r="E1026" s="8" t="str">
        <f t="shared" si="73"/>
        <v/>
      </c>
      <c r="F1026" s="18" t="str">
        <f t="shared" si="74"/>
        <v/>
      </c>
      <c r="G1026" s="21" t="str">
        <f t="shared" si="75"/>
        <v/>
      </c>
      <c r="H1026" s="9"/>
    </row>
    <row r="1027" spans="1:8" ht="19.5" customHeight="1">
      <c r="A1027" s="10"/>
      <c r="B1027" s="27"/>
      <c r="C1027" s="34"/>
      <c r="D1027" s="11" t="str">
        <f t="shared" si="72"/>
        <v/>
      </c>
      <c r="E1027" s="12" t="str">
        <f t="shared" si="73"/>
        <v/>
      </c>
      <c r="F1027" s="19" t="str">
        <f t="shared" si="74"/>
        <v/>
      </c>
      <c r="G1027" s="22" t="str">
        <f t="shared" si="75"/>
        <v/>
      </c>
      <c r="H1027" s="13"/>
    </row>
    <row r="1028" spans="1:8" ht="19.5" customHeight="1">
      <c r="A1028" s="6"/>
      <c r="B1028" s="26"/>
      <c r="C1028" s="33"/>
      <c r="D1028" s="7" t="str">
        <f t="shared" si="72"/>
        <v/>
      </c>
      <c r="E1028" s="8" t="str">
        <f t="shared" si="73"/>
        <v/>
      </c>
      <c r="F1028" s="18" t="str">
        <f t="shared" si="74"/>
        <v/>
      </c>
      <c r="G1028" s="21" t="str">
        <f t="shared" si="75"/>
        <v/>
      </c>
      <c r="H1028" s="9"/>
    </row>
    <row r="1029" spans="1:8" ht="19.5" customHeight="1">
      <c r="A1029" s="10"/>
      <c r="B1029" s="27"/>
      <c r="C1029" s="34"/>
      <c r="D1029" s="11" t="str">
        <f t="shared" si="72"/>
        <v/>
      </c>
      <c r="E1029" s="12" t="str">
        <f t="shared" si="73"/>
        <v/>
      </c>
      <c r="F1029" s="19" t="str">
        <f t="shared" si="74"/>
        <v/>
      </c>
      <c r="G1029" s="22" t="str">
        <f t="shared" si="75"/>
        <v/>
      </c>
      <c r="H1029" s="13"/>
    </row>
    <row r="1030" spans="1:8" ht="19.5" customHeight="1">
      <c r="A1030" s="6"/>
      <c r="B1030" s="26"/>
      <c r="C1030" s="33"/>
      <c r="D1030" s="7" t="str">
        <f t="shared" si="72"/>
        <v/>
      </c>
      <c r="E1030" s="8" t="str">
        <f t="shared" si="73"/>
        <v/>
      </c>
      <c r="F1030" s="18" t="str">
        <f t="shared" si="74"/>
        <v/>
      </c>
      <c r="G1030" s="21" t="str">
        <f t="shared" si="75"/>
        <v/>
      </c>
      <c r="H1030" s="9"/>
    </row>
    <row r="1031" spans="1:8" ht="19.5" customHeight="1">
      <c r="A1031" s="10"/>
      <c r="B1031" s="27"/>
      <c r="C1031" s="34"/>
      <c r="D1031" s="11" t="str">
        <f t="shared" si="72"/>
        <v/>
      </c>
      <c r="E1031" s="12" t="str">
        <f t="shared" si="73"/>
        <v/>
      </c>
      <c r="F1031" s="19" t="str">
        <f t="shared" si="74"/>
        <v/>
      </c>
      <c r="G1031" s="22" t="str">
        <f t="shared" si="75"/>
        <v/>
      </c>
      <c r="H1031" s="13"/>
    </row>
    <row r="1032" spans="1:8" ht="19.5" customHeight="1">
      <c r="A1032" s="6"/>
      <c r="B1032" s="26"/>
      <c r="C1032" s="33"/>
      <c r="D1032" s="7" t="str">
        <f t="shared" si="72"/>
        <v/>
      </c>
      <c r="E1032" s="8" t="str">
        <f t="shared" si="73"/>
        <v/>
      </c>
      <c r="F1032" s="18" t="str">
        <f t="shared" si="74"/>
        <v/>
      </c>
      <c r="G1032" s="21" t="str">
        <f t="shared" si="75"/>
        <v/>
      </c>
      <c r="H1032" s="9"/>
    </row>
    <row r="1033" spans="1:8" ht="19.5" customHeight="1">
      <c r="A1033" s="10"/>
      <c r="B1033" s="27"/>
      <c r="C1033" s="34"/>
      <c r="D1033" s="11" t="str">
        <f t="shared" si="72"/>
        <v/>
      </c>
      <c r="E1033" s="12" t="str">
        <f t="shared" si="73"/>
        <v/>
      </c>
      <c r="F1033" s="19" t="str">
        <f t="shared" si="74"/>
        <v/>
      </c>
      <c r="G1033" s="22" t="str">
        <f t="shared" si="75"/>
        <v/>
      </c>
      <c r="H1033" s="13"/>
    </row>
    <row r="1034" spans="1:8" ht="19.5" customHeight="1">
      <c r="A1034" s="6"/>
      <c r="B1034" s="26"/>
      <c r="C1034" s="33"/>
      <c r="D1034" s="7" t="str">
        <f t="shared" si="72"/>
        <v/>
      </c>
      <c r="E1034" s="8" t="str">
        <f t="shared" si="73"/>
        <v/>
      </c>
      <c r="F1034" s="18" t="str">
        <f t="shared" si="74"/>
        <v/>
      </c>
      <c r="G1034" s="21" t="str">
        <f t="shared" si="75"/>
        <v/>
      </c>
      <c r="H1034" s="9"/>
    </row>
    <row r="1035" spans="1:8" ht="19.5" customHeight="1">
      <c r="A1035" s="10"/>
      <c r="B1035" s="27"/>
      <c r="C1035" s="34"/>
      <c r="D1035" s="11" t="str">
        <f t="shared" si="72"/>
        <v/>
      </c>
      <c r="E1035" s="12" t="str">
        <f t="shared" si="73"/>
        <v/>
      </c>
      <c r="F1035" s="19" t="str">
        <f t="shared" si="74"/>
        <v/>
      </c>
      <c r="G1035" s="22" t="str">
        <f t="shared" si="75"/>
        <v/>
      </c>
      <c r="H1035" s="13"/>
    </row>
    <row r="1036" spans="1:8" ht="19.5" customHeight="1">
      <c r="A1036" s="6"/>
      <c r="B1036" s="26"/>
      <c r="C1036" s="33"/>
      <c r="D1036" s="7" t="str">
        <f t="shared" si="72"/>
        <v/>
      </c>
      <c r="E1036" s="8" t="str">
        <f t="shared" si="73"/>
        <v/>
      </c>
      <c r="F1036" s="18" t="str">
        <f t="shared" si="74"/>
        <v/>
      </c>
      <c r="G1036" s="21" t="str">
        <f t="shared" si="75"/>
        <v/>
      </c>
      <c r="H1036" s="9"/>
    </row>
    <row r="1037" spans="1:8" ht="19.5" customHeight="1">
      <c r="A1037" s="10"/>
      <c r="B1037" s="27"/>
      <c r="C1037" s="34"/>
      <c r="D1037" s="11" t="str">
        <f t="shared" si="72"/>
        <v/>
      </c>
      <c r="E1037" s="12" t="str">
        <f t="shared" si="73"/>
        <v/>
      </c>
      <c r="F1037" s="19" t="str">
        <f t="shared" si="74"/>
        <v/>
      </c>
      <c r="G1037" s="22" t="str">
        <f t="shared" si="75"/>
        <v/>
      </c>
      <c r="H1037" s="13"/>
    </row>
    <row r="1038" spans="1:8" ht="19.5" customHeight="1">
      <c r="A1038" s="6"/>
      <c r="B1038" s="26"/>
      <c r="C1038" s="33"/>
      <c r="D1038" s="7" t="str">
        <f t="shared" si="72"/>
        <v/>
      </c>
      <c r="E1038" s="8" t="str">
        <f t="shared" si="73"/>
        <v/>
      </c>
      <c r="F1038" s="18" t="str">
        <f t="shared" si="74"/>
        <v/>
      </c>
      <c r="G1038" s="21" t="str">
        <f t="shared" si="75"/>
        <v/>
      </c>
      <c r="H1038" s="9"/>
    </row>
    <row r="1039" spans="1:8" ht="19.5" customHeight="1">
      <c r="A1039" s="10"/>
      <c r="B1039" s="27"/>
      <c r="C1039" s="34"/>
      <c r="D1039" s="11" t="str">
        <f t="shared" si="72"/>
        <v/>
      </c>
      <c r="E1039" s="12" t="str">
        <f t="shared" si="73"/>
        <v/>
      </c>
      <c r="F1039" s="19" t="str">
        <f t="shared" si="74"/>
        <v/>
      </c>
      <c r="G1039" s="22" t="str">
        <f t="shared" si="75"/>
        <v/>
      </c>
      <c r="H1039" s="13"/>
    </row>
    <row r="1040" spans="1:8" ht="19.5" customHeight="1">
      <c r="A1040" s="6"/>
      <c r="B1040" s="26"/>
      <c r="C1040" s="33"/>
      <c r="D1040" s="7" t="str">
        <f t="shared" si="72"/>
        <v/>
      </c>
      <c r="E1040" s="8" t="str">
        <f t="shared" si="73"/>
        <v/>
      </c>
      <c r="F1040" s="18" t="str">
        <f t="shared" si="74"/>
        <v/>
      </c>
      <c r="G1040" s="21" t="str">
        <f t="shared" si="75"/>
        <v/>
      </c>
      <c r="H1040" s="9"/>
    </row>
    <row r="1041" spans="1:8" ht="19.5" customHeight="1">
      <c r="A1041" s="10"/>
      <c r="B1041" s="27"/>
      <c r="C1041" s="34"/>
      <c r="D1041" s="11" t="str">
        <f t="shared" si="72"/>
        <v/>
      </c>
      <c r="E1041" s="12" t="str">
        <f t="shared" si="73"/>
        <v/>
      </c>
      <c r="F1041" s="19" t="str">
        <f t="shared" si="74"/>
        <v/>
      </c>
      <c r="G1041" s="22" t="str">
        <f t="shared" si="75"/>
        <v/>
      </c>
      <c r="H1041" s="13"/>
    </row>
    <row r="1042" spans="1:8" ht="19.5" customHeight="1">
      <c r="A1042" s="6"/>
      <c r="B1042" s="26"/>
      <c r="C1042" s="33"/>
      <c r="D1042" s="7" t="str">
        <f t="shared" si="72"/>
        <v/>
      </c>
      <c r="E1042" s="8" t="str">
        <f t="shared" si="73"/>
        <v/>
      </c>
      <c r="F1042" s="18" t="str">
        <f t="shared" si="74"/>
        <v/>
      </c>
      <c r="G1042" s="21" t="str">
        <f t="shared" si="75"/>
        <v/>
      </c>
      <c r="H1042" s="9"/>
    </row>
    <row r="1043" spans="1:8" ht="19.5" customHeight="1">
      <c r="A1043" s="10"/>
      <c r="B1043" s="27"/>
      <c r="C1043" s="34"/>
      <c r="D1043" s="11" t="str">
        <f t="shared" si="72"/>
        <v/>
      </c>
      <c r="E1043" s="12" t="str">
        <f t="shared" si="73"/>
        <v/>
      </c>
      <c r="F1043" s="19" t="str">
        <f t="shared" si="74"/>
        <v/>
      </c>
      <c r="G1043" s="22" t="str">
        <f t="shared" si="75"/>
        <v/>
      </c>
      <c r="H1043" s="13"/>
    </row>
    <row r="1044" spans="1:8" ht="19.5" customHeight="1">
      <c r="A1044" s="6"/>
      <c r="B1044" s="26"/>
      <c r="C1044" s="33"/>
      <c r="D1044" s="7" t="str">
        <f t="shared" ref="D1044:D1107" si="76">IF(C1044="","",C1044*$B$1)</f>
        <v/>
      </c>
      <c r="E1044" s="8" t="str">
        <f t="shared" ref="E1044:E1107" si="77">IF(C1044="","",C1044-D1044)</f>
        <v/>
      </c>
      <c r="F1044" s="18" t="str">
        <f t="shared" ref="F1044:F1107" si="78">IF(OR(B1044="",C1044=""),"",E1044-B1044)</f>
        <v/>
      </c>
      <c r="G1044" s="21" t="str">
        <f t="shared" ref="G1044:G1107" si="79">IF(OR(B1044="",B1044=0),"",F1044/B1044)</f>
        <v/>
      </c>
      <c r="H1044" s="9"/>
    </row>
    <row r="1045" spans="1:8" ht="19.5" customHeight="1">
      <c r="A1045" s="10"/>
      <c r="B1045" s="27"/>
      <c r="C1045" s="34"/>
      <c r="D1045" s="11" t="str">
        <f t="shared" si="76"/>
        <v/>
      </c>
      <c r="E1045" s="12" t="str">
        <f t="shared" si="77"/>
        <v/>
      </c>
      <c r="F1045" s="19" t="str">
        <f t="shared" si="78"/>
        <v/>
      </c>
      <c r="G1045" s="22" t="str">
        <f t="shared" si="79"/>
        <v/>
      </c>
      <c r="H1045" s="13"/>
    </row>
    <row r="1046" spans="1:8" ht="19.5" customHeight="1">
      <c r="A1046" s="6"/>
      <c r="B1046" s="26"/>
      <c r="C1046" s="33"/>
      <c r="D1046" s="7" t="str">
        <f t="shared" si="76"/>
        <v/>
      </c>
      <c r="E1046" s="8" t="str">
        <f t="shared" si="77"/>
        <v/>
      </c>
      <c r="F1046" s="18" t="str">
        <f t="shared" si="78"/>
        <v/>
      </c>
      <c r="G1046" s="21" t="str">
        <f t="shared" si="79"/>
        <v/>
      </c>
      <c r="H1046" s="9"/>
    </row>
    <row r="1047" spans="1:8" ht="19.5" customHeight="1">
      <c r="A1047" s="10"/>
      <c r="B1047" s="27"/>
      <c r="C1047" s="34"/>
      <c r="D1047" s="11" t="str">
        <f t="shared" si="76"/>
        <v/>
      </c>
      <c r="E1047" s="12" t="str">
        <f t="shared" si="77"/>
        <v/>
      </c>
      <c r="F1047" s="19" t="str">
        <f t="shared" si="78"/>
        <v/>
      </c>
      <c r="G1047" s="22" t="str">
        <f t="shared" si="79"/>
        <v/>
      </c>
      <c r="H1047" s="13"/>
    </row>
    <row r="1048" spans="1:8" ht="19.5" customHeight="1">
      <c r="A1048" s="6"/>
      <c r="B1048" s="26"/>
      <c r="C1048" s="33"/>
      <c r="D1048" s="7" t="str">
        <f t="shared" si="76"/>
        <v/>
      </c>
      <c r="E1048" s="8" t="str">
        <f t="shared" si="77"/>
        <v/>
      </c>
      <c r="F1048" s="18" t="str">
        <f t="shared" si="78"/>
        <v/>
      </c>
      <c r="G1048" s="21" t="str">
        <f t="shared" si="79"/>
        <v/>
      </c>
      <c r="H1048" s="9"/>
    </row>
    <row r="1049" spans="1:8" ht="19.5" customHeight="1">
      <c r="A1049" s="10"/>
      <c r="B1049" s="27"/>
      <c r="C1049" s="34"/>
      <c r="D1049" s="11" t="str">
        <f t="shared" si="76"/>
        <v/>
      </c>
      <c r="E1049" s="12" t="str">
        <f t="shared" si="77"/>
        <v/>
      </c>
      <c r="F1049" s="19" t="str">
        <f t="shared" si="78"/>
        <v/>
      </c>
      <c r="G1049" s="22" t="str">
        <f t="shared" si="79"/>
        <v/>
      </c>
      <c r="H1049" s="13"/>
    </row>
    <row r="1050" spans="1:8" ht="19.5" customHeight="1">
      <c r="A1050" s="6"/>
      <c r="B1050" s="26"/>
      <c r="C1050" s="33"/>
      <c r="D1050" s="7" t="str">
        <f t="shared" si="76"/>
        <v/>
      </c>
      <c r="E1050" s="8" t="str">
        <f t="shared" si="77"/>
        <v/>
      </c>
      <c r="F1050" s="18" t="str">
        <f t="shared" si="78"/>
        <v/>
      </c>
      <c r="G1050" s="21" t="str">
        <f t="shared" si="79"/>
        <v/>
      </c>
      <c r="H1050" s="9"/>
    </row>
    <row r="1051" spans="1:8" ht="19.5" customHeight="1">
      <c r="A1051" s="10"/>
      <c r="B1051" s="27"/>
      <c r="C1051" s="34"/>
      <c r="D1051" s="11" t="str">
        <f t="shared" si="76"/>
        <v/>
      </c>
      <c r="E1051" s="12" t="str">
        <f t="shared" si="77"/>
        <v/>
      </c>
      <c r="F1051" s="19" t="str">
        <f t="shared" si="78"/>
        <v/>
      </c>
      <c r="G1051" s="22" t="str">
        <f t="shared" si="79"/>
        <v/>
      </c>
      <c r="H1051" s="13"/>
    </row>
    <row r="1052" spans="1:8" ht="19.5" customHeight="1">
      <c r="A1052" s="6"/>
      <c r="B1052" s="26"/>
      <c r="C1052" s="33"/>
      <c r="D1052" s="7" t="str">
        <f t="shared" si="76"/>
        <v/>
      </c>
      <c r="E1052" s="8" t="str">
        <f t="shared" si="77"/>
        <v/>
      </c>
      <c r="F1052" s="18" t="str">
        <f t="shared" si="78"/>
        <v/>
      </c>
      <c r="G1052" s="21" t="str">
        <f t="shared" si="79"/>
        <v/>
      </c>
      <c r="H1052" s="9"/>
    </row>
    <row r="1053" spans="1:8" ht="19.5" customHeight="1">
      <c r="A1053" s="10"/>
      <c r="B1053" s="27"/>
      <c r="C1053" s="34"/>
      <c r="D1053" s="11" t="str">
        <f t="shared" si="76"/>
        <v/>
      </c>
      <c r="E1053" s="12" t="str">
        <f t="shared" si="77"/>
        <v/>
      </c>
      <c r="F1053" s="19" t="str">
        <f t="shared" si="78"/>
        <v/>
      </c>
      <c r="G1053" s="22" t="str">
        <f t="shared" si="79"/>
        <v/>
      </c>
      <c r="H1053" s="13"/>
    </row>
    <row r="1054" spans="1:8" ht="19.5" customHeight="1">
      <c r="A1054" s="6"/>
      <c r="B1054" s="26"/>
      <c r="C1054" s="33"/>
      <c r="D1054" s="7" t="str">
        <f t="shared" si="76"/>
        <v/>
      </c>
      <c r="E1054" s="8" t="str">
        <f t="shared" si="77"/>
        <v/>
      </c>
      <c r="F1054" s="18" t="str">
        <f t="shared" si="78"/>
        <v/>
      </c>
      <c r="G1054" s="21" t="str">
        <f t="shared" si="79"/>
        <v/>
      </c>
      <c r="H1054" s="9"/>
    </row>
    <row r="1055" spans="1:8" ht="19.5" customHeight="1">
      <c r="A1055" s="10"/>
      <c r="B1055" s="27"/>
      <c r="C1055" s="34"/>
      <c r="D1055" s="11" t="str">
        <f t="shared" si="76"/>
        <v/>
      </c>
      <c r="E1055" s="12" t="str">
        <f t="shared" si="77"/>
        <v/>
      </c>
      <c r="F1055" s="19" t="str">
        <f t="shared" si="78"/>
        <v/>
      </c>
      <c r="G1055" s="22" t="str">
        <f t="shared" si="79"/>
        <v/>
      </c>
      <c r="H1055" s="13"/>
    </row>
    <row r="1056" spans="1:8" ht="19.5" customHeight="1">
      <c r="A1056" s="6"/>
      <c r="B1056" s="26"/>
      <c r="C1056" s="33"/>
      <c r="D1056" s="7" t="str">
        <f t="shared" si="76"/>
        <v/>
      </c>
      <c r="E1056" s="8" t="str">
        <f t="shared" si="77"/>
        <v/>
      </c>
      <c r="F1056" s="18" t="str">
        <f t="shared" si="78"/>
        <v/>
      </c>
      <c r="G1056" s="21" t="str">
        <f t="shared" si="79"/>
        <v/>
      </c>
      <c r="H1056" s="9"/>
    </row>
    <row r="1057" spans="1:8" ht="19.5" customHeight="1">
      <c r="A1057" s="10"/>
      <c r="B1057" s="27"/>
      <c r="C1057" s="34"/>
      <c r="D1057" s="11" t="str">
        <f t="shared" si="76"/>
        <v/>
      </c>
      <c r="E1057" s="12" t="str">
        <f t="shared" si="77"/>
        <v/>
      </c>
      <c r="F1057" s="19" t="str">
        <f t="shared" si="78"/>
        <v/>
      </c>
      <c r="G1057" s="22" t="str">
        <f t="shared" si="79"/>
        <v/>
      </c>
      <c r="H1057" s="13"/>
    </row>
    <row r="1058" spans="1:8" ht="19.5" customHeight="1">
      <c r="A1058" s="6"/>
      <c r="B1058" s="26"/>
      <c r="C1058" s="33"/>
      <c r="D1058" s="7" t="str">
        <f t="shared" si="76"/>
        <v/>
      </c>
      <c r="E1058" s="8" t="str">
        <f t="shared" si="77"/>
        <v/>
      </c>
      <c r="F1058" s="18" t="str">
        <f t="shared" si="78"/>
        <v/>
      </c>
      <c r="G1058" s="21" t="str">
        <f t="shared" si="79"/>
        <v/>
      </c>
      <c r="H1058" s="9"/>
    </row>
    <row r="1059" spans="1:8" ht="19.5" customHeight="1">
      <c r="A1059" s="10"/>
      <c r="B1059" s="27"/>
      <c r="C1059" s="34"/>
      <c r="D1059" s="11" t="str">
        <f t="shared" si="76"/>
        <v/>
      </c>
      <c r="E1059" s="12" t="str">
        <f t="shared" si="77"/>
        <v/>
      </c>
      <c r="F1059" s="19" t="str">
        <f t="shared" si="78"/>
        <v/>
      </c>
      <c r="G1059" s="22" t="str">
        <f t="shared" si="79"/>
        <v/>
      </c>
      <c r="H1059" s="13"/>
    </row>
    <row r="1060" spans="1:8" ht="19.5" customHeight="1">
      <c r="A1060" s="6"/>
      <c r="B1060" s="26"/>
      <c r="C1060" s="33"/>
      <c r="D1060" s="7" t="str">
        <f t="shared" si="76"/>
        <v/>
      </c>
      <c r="E1060" s="8" t="str">
        <f t="shared" si="77"/>
        <v/>
      </c>
      <c r="F1060" s="18" t="str">
        <f t="shared" si="78"/>
        <v/>
      </c>
      <c r="G1060" s="21" t="str">
        <f t="shared" si="79"/>
        <v/>
      </c>
      <c r="H1060" s="9"/>
    </row>
    <row r="1061" spans="1:8" ht="19.5" customHeight="1">
      <c r="A1061" s="10"/>
      <c r="B1061" s="27"/>
      <c r="C1061" s="34"/>
      <c r="D1061" s="11" t="str">
        <f t="shared" si="76"/>
        <v/>
      </c>
      <c r="E1061" s="12" t="str">
        <f t="shared" si="77"/>
        <v/>
      </c>
      <c r="F1061" s="19" t="str">
        <f t="shared" si="78"/>
        <v/>
      </c>
      <c r="G1061" s="22" t="str">
        <f t="shared" si="79"/>
        <v/>
      </c>
      <c r="H1061" s="13"/>
    </row>
    <row r="1062" spans="1:8" ht="19.5" customHeight="1">
      <c r="A1062" s="6"/>
      <c r="B1062" s="26"/>
      <c r="C1062" s="33"/>
      <c r="D1062" s="7" t="str">
        <f t="shared" si="76"/>
        <v/>
      </c>
      <c r="E1062" s="8" t="str">
        <f t="shared" si="77"/>
        <v/>
      </c>
      <c r="F1062" s="18" t="str">
        <f t="shared" si="78"/>
        <v/>
      </c>
      <c r="G1062" s="21" t="str">
        <f t="shared" si="79"/>
        <v/>
      </c>
      <c r="H1062" s="9"/>
    </row>
    <row r="1063" spans="1:8" ht="19.5" customHeight="1">
      <c r="A1063" s="10"/>
      <c r="B1063" s="27"/>
      <c r="C1063" s="34"/>
      <c r="D1063" s="11" t="str">
        <f t="shared" si="76"/>
        <v/>
      </c>
      <c r="E1063" s="12" t="str">
        <f t="shared" si="77"/>
        <v/>
      </c>
      <c r="F1063" s="19" t="str">
        <f t="shared" si="78"/>
        <v/>
      </c>
      <c r="G1063" s="22" t="str">
        <f t="shared" si="79"/>
        <v/>
      </c>
      <c r="H1063" s="13"/>
    </row>
    <row r="1064" spans="1:8" ht="19.5" customHeight="1">
      <c r="A1064" s="6"/>
      <c r="B1064" s="26"/>
      <c r="C1064" s="33"/>
      <c r="D1064" s="7" t="str">
        <f t="shared" si="76"/>
        <v/>
      </c>
      <c r="E1064" s="8" t="str">
        <f t="shared" si="77"/>
        <v/>
      </c>
      <c r="F1064" s="18" t="str">
        <f t="shared" si="78"/>
        <v/>
      </c>
      <c r="G1064" s="21" t="str">
        <f t="shared" si="79"/>
        <v/>
      </c>
      <c r="H1064" s="9"/>
    </row>
    <row r="1065" spans="1:8" ht="19.5" customHeight="1">
      <c r="A1065" s="10"/>
      <c r="B1065" s="27"/>
      <c r="C1065" s="34"/>
      <c r="D1065" s="11" t="str">
        <f t="shared" si="76"/>
        <v/>
      </c>
      <c r="E1065" s="12" t="str">
        <f t="shared" si="77"/>
        <v/>
      </c>
      <c r="F1065" s="19" t="str">
        <f t="shared" si="78"/>
        <v/>
      </c>
      <c r="G1065" s="22" t="str">
        <f t="shared" si="79"/>
        <v/>
      </c>
      <c r="H1065" s="13"/>
    </row>
    <row r="1066" spans="1:8" ht="19.5" customHeight="1">
      <c r="A1066" s="6"/>
      <c r="B1066" s="26"/>
      <c r="C1066" s="33"/>
      <c r="D1066" s="7" t="str">
        <f t="shared" si="76"/>
        <v/>
      </c>
      <c r="E1066" s="8" t="str">
        <f t="shared" si="77"/>
        <v/>
      </c>
      <c r="F1066" s="18" t="str">
        <f t="shared" si="78"/>
        <v/>
      </c>
      <c r="G1066" s="21" t="str">
        <f t="shared" si="79"/>
        <v/>
      </c>
      <c r="H1066" s="9"/>
    </row>
    <row r="1067" spans="1:8" ht="19.5" customHeight="1">
      <c r="A1067" s="10"/>
      <c r="B1067" s="27"/>
      <c r="C1067" s="34"/>
      <c r="D1067" s="11" t="str">
        <f t="shared" si="76"/>
        <v/>
      </c>
      <c r="E1067" s="12" t="str">
        <f t="shared" si="77"/>
        <v/>
      </c>
      <c r="F1067" s="19" t="str">
        <f t="shared" si="78"/>
        <v/>
      </c>
      <c r="G1067" s="22" t="str">
        <f t="shared" si="79"/>
        <v/>
      </c>
      <c r="H1067" s="13"/>
    </row>
    <row r="1068" spans="1:8" ht="19.5" customHeight="1">
      <c r="A1068" s="6"/>
      <c r="B1068" s="26"/>
      <c r="C1068" s="33"/>
      <c r="D1068" s="7" t="str">
        <f t="shared" si="76"/>
        <v/>
      </c>
      <c r="E1068" s="8" t="str">
        <f t="shared" si="77"/>
        <v/>
      </c>
      <c r="F1068" s="18" t="str">
        <f t="shared" si="78"/>
        <v/>
      </c>
      <c r="G1068" s="21" t="str">
        <f t="shared" si="79"/>
        <v/>
      </c>
      <c r="H1068" s="9"/>
    </row>
    <row r="1069" spans="1:8" ht="19.5" customHeight="1">
      <c r="A1069" s="10"/>
      <c r="B1069" s="27"/>
      <c r="C1069" s="34"/>
      <c r="D1069" s="11" t="str">
        <f t="shared" si="76"/>
        <v/>
      </c>
      <c r="E1069" s="12" t="str">
        <f t="shared" si="77"/>
        <v/>
      </c>
      <c r="F1069" s="19" t="str">
        <f t="shared" si="78"/>
        <v/>
      </c>
      <c r="G1069" s="22" t="str">
        <f t="shared" si="79"/>
        <v/>
      </c>
      <c r="H1069" s="13"/>
    </row>
    <row r="1070" spans="1:8" ht="19.5" customHeight="1">
      <c r="A1070" s="6"/>
      <c r="B1070" s="26"/>
      <c r="C1070" s="33"/>
      <c r="D1070" s="7" t="str">
        <f t="shared" si="76"/>
        <v/>
      </c>
      <c r="E1070" s="8" t="str">
        <f t="shared" si="77"/>
        <v/>
      </c>
      <c r="F1070" s="18" t="str">
        <f t="shared" si="78"/>
        <v/>
      </c>
      <c r="G1070" s="21" t="str">
        <f t="shared" si="79"/>
        <v/>
      </c>
      <c r="H1070" s="9"/>
    </row>
    <row r="1071" spans="1:8" ht="19.5" customHeight="1">
      <c r="A1071" s="10"/>
      <c r="B1071" s="27"/>
      <c r="C1071" s="34"/>
      <c r="D1071" s="11" t="str">
        <f t="shared" si="76"/>
        <v/>
      </c>
      <c r="E1071" s="12" t="str">
        <f t="shared" si="77"/>
        <v/>
      </c>
      <c r="F1071" s="19" t="str">
        <f t="shared" si="78"/>
        <v/>
      </c>
      <c r="G1071" s="22" t="str">
        <f t="shared" si="79"/>
        <v/>
      </c>
      <c r="H1071" s="13"/>
    </row>
    <row r="1072" spans="1:8" ht="19.5" customHeight="1">
      <c r="A1072" s="6"/>
      <c r="B1072" s="26"/>
      <c r="C1072" s="33"/>
      <c r="D1072" s="7" t="str">
        <f t="shared" si="76"/>
        <v/>
      </c>
      <c r="E1072" s="8" t="str">
        <f t="shared" si="77"/>
        <v/>
      </c>
      <c r="F1072" s="18" t="str">
        <f t="shared" si="78"/>
        <v/>
      </c>
      <c r="G1072" s="21" t="str">
        <f t="shared" si="79"/>
        <v/>
      </c>
      <c r="H1072" s="9"/>
    </row>
    <row r="1073" spans="1:8" ht="19.5" customHeight="1">
      <c r="A1073" s="10"/>
      <c r="B1073" s="27"/>
      <c r="C1073" s="34"/>
      <c r="D1073" s="11" t="str">
        <f t="shared" si="76"/>
        <v/>
      </c>
      <c r="E1073" s="12" t="str">
        <f t="shared" si="77"/>
        <v/>
      </c>
      <c r="F1073" s="19" t="str">
        <f t="shared" si="78"/>
        <v/>
      </c>
      <c r="G1073" s="22" t="str">
        <f t="shared" si="79"/>
        <v/>
      </c>
      <c r="H1073" s="13"/>
    </row>
    <row r="1074" spans="1:8" ht="19.5" customHeight="1">
      <c r="A1074" s="6"/>
      <c r="B1074" s="26"/>
      <c r="C1074" s="33"/>
      <c r="D1074" s="7" t="str">
        <f t="shared" si="76"/>
        <v/>
      </c>
      <c r="E1074" s="8" t="str">
        <f t="shared" si="77"/>
        <v/>
      </c>
      <c r="F1074" s="18" t="str">
        <f t="shared" si="78"/>
        <v/>
      </c>
      <c r="G1074" s="21" t="str">
        <f t="shared" si="79"/>
        <v/>
      </c>
      <c r="H1074" s="9"/>
    </row>
    <row r="1075" spans="1:8" ht="19.5" customHeight="1">
      <c r="A1075" s="10"/>
      <c r="B1075" s="27"/>
      <c r="C1075" s="34"/>
      <c r="D1075" s="11" t="str">
        <f t="shared" si="76"/>
        <v/>
      </c>
      <c r="E1075" s="12" t="str">
        <f t="shared" si="77"/>
        <v/>
      </c>
      <c r="F1075" s="19" t="str">
        <f t="shared" si="78"/>
        <v/>
      </c>
      <c r="G1075" s="22" t="str">
        <f t="shared" si="79"/>
        <v/>
      </c>
      <c r="H1075" s="13"/>
    </row>
    <row r="1076" spans="1:8" ht="19.5" customHeight="1">
      <c r="A1076" s="6"/>
      <c r="B1076" s="26"/>
      <c r="C1076" s="33"/>
      <c r="D1076" s="7" t="str">
        <f t="shared" si="76"/>
        <v/>
      </c>
      <c r="E1076" s="8" t="str">
        <f t="shared" si="77"/>
        <v/>
      </c>
      <c r="F1076" s="18" t="str">
        <f t="shared" si="78"/>
        <v/>
      </c>
      <c r="G1076" s="21" t="str">
        <f t="shared" si="79"/>
        <v/>
      </c>
      <c r="H1076" s="9"/>
    </row>
    <row r="1077" spans="1:8" ht="19.5" customHeight="1">
      <c r="A1077" s="10"/>
      <c r="B1077" s="27"/>
      <c r="C1077" s="34"/>
      <c r="D1077" s="11" t="str">
        <f t="shared" si="76"/>
        <v/>
      </c>
      <c r="E1077" s="12" t="str">
        <f t="shared" si="77"/>
        <v/>
      </c>
      <c r="F1077" s="19" t="str">
        <f t="shared" si="78"/>
        <v/>
      </c>
      <c r="G1077" s="22" t="str">
        <f t="shared" si="79"/>
        <v/>
      </c>
      <c r="H1077" s="13"/>
    </row>
    <row r="1078" spans="1:8" ht="19.5" customHeight="1">
      <c r="A1078" s="6"/>
      <c r="B1078" s="26"/>
      <c r="C1078" s="33"/>
      <c r="D1078" s="7" t="str">
        <f t="shared" si="76"/>
        <v/>
      </c>
      <c r="E1078" s="8" t="str">
        <f t="shared" si="77"/>
        <v/>
      </c>
      <c r="F1078" s="18" t="str">
        <f t="shared" si="78"/>
        <v/>
      </c>
      <c r="G1078" s="21" t="str">
        <f t="shared" si="79"/>
        <v/>
      </c>
      <c r="H1078" s="9"/>
    </row>
    <row r="1079" spans="1:8" ht="19.5" customHeight="1">
      <c r="A1079" s="10"/>
      <c r="B1079" s="27"/>
      <c r="C1079" s="34"/>
      <c r="D1079" s="11" t="str">
        <f t="shared" si="76"/>
        <v/>
      </c>
      <c r="E1079" s="12" t="str">
        <f t="shared" si="77"/>
        <v/>
      </c>
      <c r="F1079" s="19" t="str">
        <f t="shared" si="78"/>
        <v/>
      </c>
      <c r="G1079" s="22" t="str">
        <f t="shared" si="79"/>
        <v/>
      </c>
      <c r="H1079" s="13"/>
    </row>
    <row r="1080" spans="1:8" ht="19.5" customHeight="1">
      <c r="A1080" s="6"/>
      <c r="B1080" s="26"/>
      <c r="C1080" s="33"/>
      <c r="D1080" s="7" t="str">
        <f t="shared" si="76"/>
        <v/>
      </c>
      <c r="E1080" s="8" t="str">
        <f t="shared" si="77"/>
        <v/>
      </c>
      <c r="F1080" s="18" t="str">
        <f t="shared" si="78"/>
        <v/>
      </c>
      <c r="G1080" s="21" t="str">
        <f t="shared" si="79"/>
        <v/>
      </c>
      <c r="H1080" s="9"/>
    </row>
    <row r="1081" spans="1:8" ht="19.5" customHeight="1">
      <c r="A1081" s="10"/>
      <c r="B1081" s="27"/>
      <c r="C1081" s="34"/>
      <c r="D1081" s="11" t="str">
        <f t="shared" si="76"/>
        <v/>
      </c>
      <c r="E1081" s="12" t="str">
        <f t="shared" si="77"/>
        <v/>
      </c>
      <c r="F1081" s="19" t="str">
        <f t="shared" si="78"/>
        <v/>
      </c>
      <c r="G1081" s="22" t="str">
        <f t="shared" si="79"/>
        <v/>
      </c>
      <c r="H1081" s="13"/>
    </row>
    <row r="1082" spans="1:8" ht="19.5" customHeight="1">
      <c r="A1082" s="6"/>
      <c r="B1082" s="26"/>
      <c r="C1082" s="33"/>
      <c r="D1082" s="7" t="str">
        <f t="shared" si="76"/>
        <v/>
      </c>
      <c r="E1082" s="8" t="str">
        <f t="shared" si="77"/>
        <v/>
      </c>
      <c r="F1082" s="18" t="str">
        <f t="shared" si="78"/>
        <v/>
      </c>
      <c r="G1082" s="21" t="str">
        <f t="shared" si="79"/>
        <v/>
      </c>
      <c r="H1082" s="9"/>
    </row>
    <row r="1083" spans="1:8" ht="19.5" customHeight="1">
      <c r="A1083" s="10"/>
      <c r="B1083" s="27"/>
      <c r="C1083" s="34"/>
      <c r="D1083" s="11" t="str">
        <f t="shared" si="76"/>
        <v/>
      </c>
      <c r="E1083" s="12" t="str">
        <f t="shared" si="77"/>
        <v/>
      </c>
      <c r="F1083" s="19" t="str">
        <f t="shared" si="78"/>
        <v/>
      </c>
      <c r="G1083" s="22" t="str">
        <f t="shared" si="79"/>
        <v/>
      </c>
      <c r="H1083" s="13"/>
    </row>
    <row r="1084" spans="1:8" ht="19.5" customHeight="1">
      <c r="A1084" s="6"/>
      <c r="B1084" s="26"/>
      <c r="C1084" s="33"/>
      <c r="D1084" s="7" t="str">
        <f t="shared" si="76"/>
        <v/>
      </c>
      <c r="E1084" s="8" t="str">
        <f t="shared" si="77"/>
        <v/>
      </c>
      <c r="F1084" s="18" t="str">
        <f t="shared" si="78"/>
        <v/>
      </c>
      <c r="G1084" s="21" t="str">
        <f t="shared" si="79"/>
        <v/>
      </c>
      <c r="H1084" s="9"/>
    </row>
    <row r="1085" spans="1:8" ht="19.5" customHeight="1">
      <c r="A1085" s="10"/>
      <c r="B1085" s="27"/>
      <c r="C1085" s="34"/>
      <c r="D1085" s="11" t="str">
        <f t="shared" si="76"/>
        <v/>
      </c>
      <c r="E1085" s="12" t="str">
        <f t="shared" si="77"/>
        <v/>
      </c>
      <c r="F1085" s="19" t="str">
        <f t="shared" si="78"/>
        <v/>
      </c>
      <c r="G1085" s="22" t="str">
        <f t="shared" si="79"/>
        <v/>
      </c>
      <c r="H1085" s="13"/>
    </row>
    <row r="1086" spans="1:8" ht="19.5" customHeight="1">
      <c r="A1086" s="6"/>
      <c r="B1086" s="26"/>
      <c r="C1086" s="33"/>
      <c r="D1086" s="7" t="str">
        <f t="shared" si="76"/>
        <v/>
      </c>
      <c r="E1086" s="8" t="str">
        <f t="shared" si="77"/>
        <v/>
      </c>
      <c r="F1086" s="18" t="str">
        <f t="shared" si="78"/>
        <v/>
      </c>
      <c r="G1086" s="21" t="str">
        <f t="shared" si="79"/>
        <v/>
      </c>
      <c r="H1086" s="9"/>
    </row>
    <row r="1087" spans="1:8" ht="19.5" customHeight="1">
      <c r="A1087" s="10"/>
      <c r="B1087" s="27"/>
      <c r="C1087" s="34"/>
      <c r="D1087" s="11" t="str">
        <f t="shared" si="76"/>
        <v/>
      </c>
      <c r="E1087" s="12" t="str">
        <f t="shared" si="77"/>
        <v/>
      </c>
      <c r="F1087" s="19" t="str">
        <f t="shared" si="78"/>
        <v/>
      </c>
      <c r="G1087" s="22" t="str">
        <f t="shared" si="79"/>
        <v/>
      </c>
      <c r="H1087" s="13"/>
    </row>
    <row r="1088" spans="1:8" ht="19.5" customHeight="1">
      <c r="A1088" s="6"/>
      <c r="B1088" s="26"/>
      <c r="C1088" s="33"/>
      <c r="D1088" s="7" t="str">
        <f t="shared" si="76"/>
        <v/>
      </c>
      <c r="E1088" s="8" t="str">
        <f t="shared" si="77"/>
        <v/>
      </c>
      <c r="F1088" s="18" t="str">
        <f t="shared" si="78"/>
        <v/>
      </c>
      <c r="G1088" s="21" t="str">
        <f t="shared" si="79"/>
        <v/>
      </c>
      <c r="H1088" s="9"/>
    </row>
    <row r="1089" spans="1:8" ht="19.5" customHeight="1">
      <c r="A1089" s="10"/>
      <c r="B1089" s="27"/>
      <c r="C1089" s="34"/>
      <c r="D1089" s="11" t="str">
        <f t="shared" si="76"/>
        <v/>
      </c>
      <c r="E1089" s="12" t="str">
        <f t="shared" si="77"/>
        <v/>
      </c>
      <c r="F1089" s="19" t="str">
        <f t="shared" si="78"/>
        <v/>
      </c>
      <c r="G1089" s="22" t="str">
        <f t="shared" si="79"/>
        <v/>
      </c>
      <c r="H1089" s="13"/>
    </row>
    <row r="1090" spans="1:8" ht="19.5" customHeight="1">
      <c r="A1090" s="6"/>
      <c r="B1090" s="26"/>
      <c r="C1090" s="33"/>
      <c r="D1090" s="7" t="str">
        <f t="shared" si="76"/>
        <v/>
      </c>
      <c r="E1090" s="8" t="str">
        <f t="shared" si="77"/>
        <v/>
      </c>
      <c r="F1090" s="18" t="str">
        <f t="shared" si="78"/>
        <v/>
      </c>
      <c r="G1090" s="21" t="str">
        <f t="shared" si="79"/>
        <v/>
      </c>
      <c r="H1090" s="9"/>
    </row>
    <row r="1091" spans="1:8" ht="19.5" customHeight="1">
      <c r="A1091" s="10"/>
      <c r="B1091" s="27"/>
      <c r="C1091" s="34"/>
      <c r="D1091" s="11" t="str">
        <f t="shared" si="76"/>
        <v/>
      </c>
      <c r="E1091" s="12" t="str">
        <f t="shared" si="77"/>
        <v/>
      </c>
      <c r="F1091" s="19" t="str">
        <f t="shared" si="78"/>
        <v/>
      </c>
      <c r="G1091" s="22" t="str">
        <f t="shared" si="79"/>
        <v/>
      </c>
      <c r="H1091" s="13"/>
    </row>
    <row r="1092" spans="1:8" ht="19.5" customHeight="1">
      <c r="A1092" s="6"/>
      <c r="B1092" s="26"/>
      <c r="C1092" s="33"/>
      <c r="D1092" s="7" t="str">
        <f t="shared" si="76"/>
        <v/>
      </c>
      <c r="E1092" s="8" t="str">
        <f t="shared" si="77"/>
        <v/>
      </c>
      <c r="F1092" s="18" t="str">
        <f t="shared" si="78"/>
        <v/>
      </c>
      <c r="G1092" s="21" t="str">
        <f t="shared" si="79"/>
        <v/>
      </c>
      <c r="H1092" s="9"/>
    </row>
    <row r="1093" spans="1:8" ht="19.5" customHeight="1">
      <c r="A1093" s="10"/>
      <c r="B1093" s="27"/>
      <c r="C1093" s="34"/>
      <c r="D1093" s="11" t="str">
        <f t="shared" si="76"/>
        <v/>
      </c>
      <c r="E1093" s="12" t="str">
        <f t="shared" si="77"/>
        <v/>
      </c>
      <c r="F1093" s="19" t="str">
        <f t="shared" si="78"/>
        <v/>
      </c>
      <c r="G1093" s="22" t="str">
        <f t="shared" si="79"/>
        <v/>
      </c>
      <c r="H1093" s="13"/>
    </row>
    <row r="1094" spans="1:8" ht="19.5" customHeight="1">
      <c r="A1094" s="6"/>
      <c r="B1094" s="26"/>
      <c r="C1094" s="33"/>
      <c r="D1094" s="7" t="str">
        <f t="shared" si="76"/>
        <v/>
      </c>
      <c r="E1094" s="8" t="str">
        <f t="shared" si="77"/>
        <v/>
      </c>
      <c r="F1094" s="18" t="str">
        <f t="shared" si="78"/>
        <v/>
      </c>
      <c r="G1094" s="21" t="str">
        <f t="shared" si="79"/>
        <v/>
      </c>
      <c r="H1094" s="9"/>
    </row>
    <row r="1095" spans="1:8" ht="19.5" customHeight="1">
      <c r="A1095" s="10"/>
      <c r="B1095" s="27"/>
      <c r="C1095" s="34"/>
      <c r="D1095" s="11" t="str">
        <f t="shared" si="76"/>
        <v/>
      </c>
      <c r="E1095" s="12" t="str">
        <f t="shared" si="77"/>
        <v/>
      </c>
      <c r="F1095" s="19" t="str">
        <f t="shared" si="78"/>
        <v/>
      </c>
      <c r="G1095" s="22" t="str">
        <f t="shared" si="79"/>
        <v/>
      </c>
      <c r="H1095" s="13"/>
    </row>
    <row r="1096" spans="1:8" ht="19.5" customHeight="1">
      <c r="A1096" s="6"/>
      <c r="B1096" s="26"/>
      <c r="C1096" s="33"/>
      <c r="D1096" s="7" t="str">
        <f t="shared" si="76"/>
        <v/>
      </c>
      <c r="E1096" s="8" t="str">
        <f t="shared" si="77"/>
        <v/>
      </c>
      <c r="F1096" s="18" t="str">
        <f t="shared" si="78"/>
        <v/>
      </c>
      <c r="G1096" s="21" t="str">
        <f t="shared" si="79"/>
        <v/>
      </c>
      <c r="H1096" s="9"/>
    </row>
    <row r="1097" spans="1:8" ht="19.5" customHeight="1">
      <c r="A1097" s="10"/>
      <c r="B1097" s="27"/>
      <c r="C1097" s="34"/>
      <c r="D1097" s="11" t="str">
        <f t="shared" si="76"/>
        <v/>
      </c>
      <c r="E1097" s="12" t="str">
        <f t="shared" si="77"/>
        <v/>
      </c>
      <c r="F1097" s="19" t="str">
        <f t="shared" si="78"/>
        <v/>
      </c>
      <c r="G1097" s="22" t="str">
        <f t="shared" si="79"/>
        <v/>
      </c>
      <c r="H1097" s="13"/>
    </row>
    <row r="1098" spans="1:8" ht="19.5" customHeight="1">
      <c r="A1098" s="6"/>
      <c r="B1098" s="26"/>
      <c r="C1098" s="33"/>
      <c r="D1098" s="7" t="str">
        <f t="shared" si="76"/>
        <v/>
      </c>
      <c r="E1098" s="8" t="str">
        <f t="shared" si="77"/>
        <v/>
      </c>
      <c r="F1098" s="18" t="str">
        <f t="shared" si="78"/>
        <v/>
      </c>
      <c r="G1098" s="21" t="str">
        <f t="shared" si="79"/>
        <v/>
      </c>
      <c r="H1098" s="9"/>
    </row>
    <row r="1099" spans="1:8" ht="19.5" customHeight="1">
      <c r="A1099" s="10"/>
      <c r="B1099" s="27"/>
      <c r="C1099" s="34"/>
      <c r="D1099" s="11" t="str">
        <f t="shared" si="76"/>
        <v/>
      </c>
      <c r="E1099" s="12" t="str">
        <f t="shared" si="77"/>
        <v/>
      </c>
      <c r="F1099" s="19" t="str">
        <f t="shared" si="78"/>
        <v/>
      </c>
      <c r="G1099" s="22" t="str">
        <f t="shared" si="79"/>
        <v/>
      </c>
      <c r="H1099" s="13"/>
    </row>
    <row r="1100" spans="1:8" ht="19.5" customHeight="1">
      <c r="A1100" s="6"/>
      <c r="B1100" s="26"/>
      <c r="C1100" s="33"/>
      <c r="D1100" s="7" t="str">
        <f t="shared" si="76"/>
        <v/>
      </c>
      <c r="E1100" s="8" t="str">
        <f t="shared" si="77"/>
        <v/>
      </c>
      <c r="F1100" s="18" t="str">
        <f t="shared" si="78"/>
        <v/>
      </c>
      <c r="G1100" s="21" t="str">
        <f t="shared" si="79"/>
        <v/>
      </c>
      <c r="H1100" s="9"/>
    </row>
    <row r="1101" spans="1:8" ht="19.5" customHeight="1">
      <c r="A1101" s="10"/>
      <c r="B1101" s="27"/>
      <c r="C1101" s="34"/>
      <c r="D1101" s="11" t="str">
        <f t="shared" si="76"/>
        <v/>
      </c>
      <c r="E1101" s="12" t="str">
        <f t="shared" si="77"/>
        <v/>
      </c>
      <c r="F1101" s="19" t="str">
        <f t="shared" si="78"/>
        <v/>
      </c>
      <c r="G1101" s="22" t="str">
        <f t="shared" si="79"/>
        <v/>
      </c>
      <c r="H1101" s="13"/>
    </row>
    <row r="1102" spans="1:8" ht="19.5" customHeight="1">
      <c r="A1102" s="6"/>
      <c r="B1102" s="26"/>
      <c r="C1102" s="33"/>
      <c r="D1102" s="7" t="str">
        <f t="shared" si="76"/>
        <v/>
      </c>
      <c r="E1102" s="8" t="str">
        <f t="shared" si="77"/>
        <v/>
      </c>
      <c r="F1102" s="18" t="str">
        <f t="shared" si="78"/>
        <v/>
      </c>
      <c r="G1102" s="21" t="str">
        <f t="shared" si="79"/>
        <v/>
      </c>
      <c r="H1102" s="9"/>
    </row>
    <row r="1103" spans="1:8" ht="19.5" customHeight="1">
      <c r="A1103" s="10"/>
      <c r="B1103" s="27"/>
      <c r="C1103" s="34"/>
      <c r="D1103" s="11" t="str">
        <f t="shared" si="76"/>
        <v/>
      </c>
      <c r="E1103" s="12" t="str">
        <f t="shared" si="77"/>
        <v/>
      </c>
      <c r="F1103" s="19" t="str">
        <f t="shared" si="78"/>
        <v/>
      </c>
      <c r="G1103" s="22" t="str">
        <f t="shared" si="79"/>
        <v/>
      </c>
      <c r="H1103" s="13"/>
    </row>
    <row r="1104" spans="1:8" ht="19.5" customHeight="1">
      <c r="A1104" s="6"/>
      <c r="B1104" s="26"/>
      <c r="C1104" s="33"/>
      <c r="D1104" s="7" t="str">
        <f t="shared" si="76"/>
        <v/>
      </c>
      <c r="E1104" s="8" t="str">
        <f t="shared" si="77"/>
        <v/>
      </c>
      <c r="F1104" s="18" t="str">
        <f t="shared" si="78"/>
        <v/>
      </c>
      <c r="G1104" s="21" t="str">
        <f t="shared" si="79"/>
        <v/>
      </c>
      <c r="H1104" s="9"/>
    </row>
    <row r="1105" spans="1:8" ht="19.5" customHeight="1">
      <c r="A1105" s="10"/>
      <c r="B1105" s="27"/>
      <c r="C1105" s="34"/>
      <c r="D1105" s="11" t="str">
        <f t="shared" si="76"/>
        <v/>
      </c>
      <c r="E1105" s="12" t="str">
        <f t="shared" si="77"/>
        <v/>
      </c>
      <c r="F1105" s="19" t="str">
        <f t="shared" si="78"/>
        <v/>
      </c>
      <c r="G1105" s="22" t="str">
        <f t="shared" si="79"/>
        <v/>
      </c>
      <c r="H1105" s="13"/>
    </row>
    <row r="1106" spans="1:8" ht="19.5" customHeight="1">
      <c r="A1106" s="6"/>
      <c r="B1106" s="26"/>
      <c r="C1106" s="33"/>
      <c r="D1106" s="7" t="str">
        <f t="shared" si="76"/>
        <v/>
      </c>
      <c r="E1106" s="8" t="str">
        <f t="shared" si="77"/>
        <v/>
      </c>
      <c r="F1106" s="18" t="str">
        <f t="shared" si="78"/>
        <v/>
      </c>
      <c r="G1106" s="21" t="str">
        <f t="shared" si="79"/>
        <v/>
      </c>
      <c r="H1106" s="9"/>
    </row>
    <row r="1107" spans="1:8" ht="19.5" customHeight="1">
      <c r="A1107" s="10"/>
      <c r="B1107" s="27"/>
      <c r="C1107" s="34"/>
      <c r="D1107" s="11" t="str">
        <f t="shared" si="76"/>
        <v/>
      </c>
      <c r="E1107" s="12" t="str">
        <f t="shared" si="77"/>
        <v/>
      </c>
      <c r="F1107" s="19" t="str">
        <f t="shared" si="78"/>
        <v/>
      </c>
      <c r="G1107" s="22" t="str">
        <f t="shared" si="79"/>
        <v/>
      </c>
      <c r="H1107" s="13"/>
    </row>
    <row r="1108" spans="1:8" ht="19.5" customHeight="1">
      <c r="A1108" s="6"/>
      <c r="B1108" s="26"/>
      <c r="C1108" s="33"/>
      <c r="D1108" s="7" t="str">
        <f t="shared" ref="D1108:D1147" si="80">IF(C1108="","",C1108*$B$1)</f>
        <v/>
      </c>
      <c r="E1108" s="8" t="str">
        <f t="shared" ref="E1108:E1147" si="81">IF(C1108="","",C1108-D1108)</f>
        <v/>
      </c>
      <c r="F1108" s="18" t="str">
        <f t="shared" ref="F1108:F1147" si="82">IF(OR(B1108="",C1108=""),"",E1108-B1108)</f>
        <v/>
      </c>
      <c r="G1108" s="21" t="str">
        <f t="shared" ref="G1108:G1147" si="83">IF(OR(B1108="",B1108=0),"",F1108/B1108)</f>
        <v/>
      </c>
      <c r="H1108" s="9"/>
    </row>
    <row r="1109" spans="1:8" ht="19.5" customHeight="1">
      <c r="A1109" s="10"/>
      <c r="B1109" s="27"/>
      <c r="C1109" s="34"/>
      <c r="D1109" s="11" t="str">
        <f t="shared" si="80"/>
        <v/>
      </c>
      <c r="E1109" s="12" t="str">
        <f t="shared" si="81"/>
        <v/>
      </c>
      <c r="F1109" s="19" t="str">
        <f t="shared" si="82"/>
        <v/>
      </c>
      <c r="G1109" s="22" t="str">
        <f t="shared" si="83"/>
        <v/>
      </c>
      <c r="H1109" s="13"/>
    </row>
    <row r="1110" spans="1:8" ht="19.5" customHeight="1">
      <c r="A1110" s="6"/>
      <c r="B1110" s="26"/>
      <c r="C1110" s="33"/>
      <c r="D1110" s="7" t="str">
        <f t="shared" si="80"/>
        <v/>
      </c>
      <c r="E1110" s="8" t="str">
        <f t="shared" si="81"/>
        <v/>
      </c>
      <c r="F1110" s="18" t="str">
        <f t="shared" si="82"/>
        <v/>
      </c>
      <c r="G1110" s="21" t="str">
        <f t="shared" si="83"/>
        <v/>
      </c>
      <c r="H1110" s="9"/>
    </row>
    <row r="1111" spans="1:8" ht="19.5" customHeight="1">
      <c r="A1111" s="10"/>
      <c r="B1111" s="27"/>
      <c r="C1111" s="34"/>
      <c r="D1111" s="11" t="str">
        <f t="shared" si="80"/>
        <v/>
      </c>
      <c r="E1111" s="12" t="str">
        <f t="shared" si="81"/>
        <v/>
      </c>
      <c r="F1111" s="19" t="str">
        <f t="shared" si="82"/>
        <v/>
      </c>
      <c r="G1111" s="22" t="str">
        <f t="shared" si="83"/>
        <v/>
      </c>
      <c r="H1111" s="13"/>
    </row>
    <row r="1112" spans="1:8" ht="19.5" customHeight="1">
      <c r="A1112" s="6"/>
      <c r="B1112" s="26"/>
      <c r="C1112" s="33"/>
      <c r="D1112" s="7" t="str">
        <f t="shared" si="80"/>
        <v/>
      </c>
      <c r="E1112" s="8" t="str">
        <f t="shared" si="81"/>
        <v/>
      </c>
      <c r="F1112" s="18" t="str">
        <f t="shared" si="82"/>
        <v/>
      </c>
      <c r="G1112" s="21" t="str">
        <f t="shared" si="83"/>
        <v/>
      </c>
      <c r="H1112" s="9"/>
    </row>
    <row r="1113" spans="1:8" ht="19.5" customHeight="1">
      <c r="A1113" s="10"/>
      <c r="B1113" s="27"/>
      <c r="C1113" s="34"/>
      <c r="D1113" s="11" t="str">
        <f t="shared" si="80"/>
        <v/>
      </c>
      <c r="E1113" s="12" t="str">
        <f t="shared" si="81"/>
        <v/>
      </c>
      <c r="F1113" s="19" t="str">
        <f t="shared" si="82"/>
        <v/>
      </c>
      <c r="G1113" s="22" t="str">
        <f t="shared" si="83"/>
        <v/>
      </c>
      <c r="H1113" s="13"/>
    </row>
    <row r="1114" spans="1:8" ht="19.5" customHeight="1">
      <c r="A1114" s="6"/>
      <c r="B1114" s="26"/>
      <c r="C1114" s="33"/>
      <c r="D1114" s="7" t="str">
        <f t="shared" si="80"/>
        <v/>
      </c>
      <c r="E1114" s="8" t="str">
        <f t="shared" si="81"/>
        <v/>
      </c>
      <c r="F1114" s="18" t="str">
        <f t="shared" si="82"/>
        <v/>
      </c>
      <c r="G1114" s="21" t="str">
        <f t="shared" si="83"/>
        <v/>
      </c>
      <c r="H1114" s="9"/>
    </row>
    <row r="1115" spans="1:8" ht="19.5" customHeight="1">
      <c r="A1115" s="10"/>
      <c r="B1115" s="27"/>
      <c r="C1115" s="34"/>
      <c r="D1115" s="11" t="str">
        <f t="shared" si="80"/>
        <v/>
      </c>
      <c r="E1115" s="12" t="str">
        <f t="shared" si="81"/>
        <v/>
      </c>
      <c r="F1115" s="19" t="str">
        <f t="shared" si="82"/>
        <v/>
      </c>
      <c r="G1115" s="22" t="str">
        <f t="shared" si="83"/>
        <v/>
      </c>
      <c r="H1115" s="13"/>
    </row>
    <row r="1116" spans="1:8" ht="19.5" customHeight="1">
      <c r="A1116" s="6"/>
      <c r="B1116" s="26"/>
      <c r="C1116" s="33"/>
      <c r="D1116" s="7" t="str">
        <f t="shared" si="80"/>
        <v/>
      </c>
      <c r="E1116" s="8" t="str">
        <f t="shared" si="81"/>
        <v/>
      </c>
      <c r="F1116" s="18" t="str">
        <f t="shared" si="82"/>
        <v/>
      </c>
      <c r="G1116" s="21" t="str">
        <f t="shared" si="83"/>
        <v/>
      </c>
      <c r="H1116" s="9"/>
    </row>
    <row r="1117" spans="1:8" ht="19.5" customHeight="1">
      <c r="A1117" s="10"/>
      <c r="B1117" s="27"/>
      <c r="C1117" s="34"/>
      <c r="D1117" s="11" t="str">
        <f t="shared" si="80"/>
        <v/>
      </c>
      <c r="E1117" s="12" t="str">
        <f t="shared" si="81"/>
        <v/>
      </c>
      <c r="F1117" s="19" t="str">
        <f t="shared" si="82"/>
        <v/>
      </c>
      <c r="G1117" s="22" t="str">
        <f t="shared" si="83"/>
        <v/>
      </c>
      <c r="H1117" s="13"/>
    </row>
    <row r="1118" spans="1:8" ht="19.5" customHeight="1">
      <c r="A1118" s="6"/>
      <c r="B1118" s="26"/>
      <c r="C1118" s="33"/>
      <c r="D1118" s="7" t="str">
        <f t="shared" si="80"/>
        <v/>
      </c>
      <c r="E1118" s="8" t="str">
        <f t="shared" si="81"/>
        <v/>
      </c>
      <c r="F1118" s="18" t="str">
        <f t="shared" si="82"/>
        <v/>
      </c>
      <c r="G1118" s="21" t="str">
        <f t="shared" si="83"/>
        <v/>
      </c>
      <c r="H1118" s="9"/>
    </row>
    <row r="1119" spans="1:8" ht="19.5" customHeight="1">
      <c r="A1119" s="10"/>
      <c r="B1119" s="27"/>
      <c r="C1119" s="34"/>
      <c r="D1119" s="11" t="str">
        <f t="shared" si="80"/>
        <v/>
      </c>
      <c r="E1119" s="12" t="str">
        <f t="shared" si="81"/>
        <v/>
      </c>
      <c r="F1119" s="19" t="str">
        <f t="shared" si="82"/>
        <v/>
      </c>
      <c r="G1119" s="22" t="str">
        <f t="shared" si="83"/>
        <v/>
      </c>
      <c r="H1119" s="13"/>
    </row>
    <row r="1120" spans="1:8" ht="19.5" customHeight="1">
      <c r="A1120" s="6"/>
      <c r="B1120" s="26"/>
      <c r="C1120" s="33"/>
      <c r="D1120" s="7" t="str">
        <f t="shared" si="80"/>
        <v/>
      </c>
      <c r="E1120" s="8" t="str">
        <f t="shared" si="81"/>
        <v/>
      </c>
      <c r="F1120" s="18" t="str">
        <f t="shared" si="82"/>
        <v/>
      </c>
      <c r="G1120" s="21" t="str">
        <f t="shared" si="83"/>
        <v/>
      </c>
      <c r="H1120" s="9"/>
    </row>
    <row r="1121" spans="1:8" ht="19.5" customHeight="1">
      <c r="A1121" s="10"/>
      <c r="B1121" s="27"/>
      <c r="C1121" s="34"/>
      <c r="D1121" s="11" t="str">
        <f t="shared" si="80"/>
        <v/>
      </c>
      <c r="E1121" s="12" t="str">
        <f t="shared" si="81"/>
        <v/>
      </c>
      <c r="F1121" s="19" t="str">
        <f t="shared" si="82"/>
        <v/>
      </c>
      <c r="G1121" s="22" t="str">
        <f t="shared" si="83"/>
        <v/>
      </c>
      <c r="H1121" s="13"/>
    </row>
    <row r="1122" spans="1:8" ht="19.5" customHeight="1">
      <c r="A1122" s="6"/>
      <c r="B1122" s="26"/>
      <c r="C1122" s="33"/>
      <c r="D1122" s="7" t="str">
        <f t="shared" si="80"/>
        <v/>
      </c>
      <c r="E1122" s="8" t="str">
        <f t="shared" si="81"/>
        <v/>
      </c>
      <c r="F1122" s="18" t="str">
        <f t="shared" si="82"/>
        <v/>
      </c>
      <c r="G1122" s="21" t="str">
        <f t="shared" si="83"/>
        <v/>
      </c>
      <c r="H1122" s="9"/>
    </row>
    <row r="1123" spans="1:8" ht="19.5" customHeight="1">
      <c r="A1123" s="10"/>
      <c r="B1123" s="27"/>
      <c r="C1123" s="34"/>
      <c r="D1123" s="11" t="str">
        <f t="shared" si="80"/>
        <v/>
      </c>
      <c r="E1123" s="12" t="str">
        <f t="shared" si="81"/>
        <v/>
      </c>
      <c r="F1123" s="19" t="str">
        <f t="shared" si="82"/>
        <v/>
      </c>
      <c r="G1123" s="22" t="str">
        <f t="shared" si="83"/>
        <v/>
      </c>
      <c r="H1123" s="13"/>
    </row>
    <row r="1124" spans="1:8" ht="19.5" customHeight="1">
      <c r="A1124" s="6"/>
      <c r="B1124" s="26"/>
      <c r="C1124" s="33"/>
      <c r="D1124" s="7" t="str">
        <f t="shared" si="80"/>
        <v/>
      </c>
      <c r="E1124" s="8" t="str">
        <f t="shared" si="81"/>
        <v/>
      </c>
      <c r="F1124" s="18" t="str">
        <f t="shared" si="82"/>
        <v/>
      </c>
      <c r="G1124" s="21" t="str">
        <f t="shared" si="83"/>
        <v/>
      </c>
      <c r="H1124" s="9"/>
    </row>
    <row r="1125" spans="1:8" ht="19.5" customHeight="1">
      <c r="A1125" s="10"/>
      <c r="B1125" s="27"/>
      <c r="C1125" s="34"/>
      <c r="D1125" s="11" t="str">
        <f t="shared" si="80"/>
        <v/>
      </c>
      <c r="E1125" s="12" t="str">
        <f t="shared" si="81"/>
        <v/>
      </c>
      <c r="F1125" s="19" t="str">
        <f t="shared" si="82"/>
        <v/>
      </c>
      <c r="G1125" s="22" t="str">
        <f t="shared" si="83"/>
        <v/>
      </c>
      <c r="H1125" s="13"/>
    </row>
    <row r="1126" spans="1:8" ht="19.5" customHeight="1">
      <c r="A1126" s="6"/>
      <c r="B1126" s="26"/>
      <c r="C1126" s="33"/>
      <c r="D1126" s="7" t="str">
        <f t="shared" si="80"/>
        <v/>
      </c>
      <c r="E1126" s="8" t="str">
        <f t="shared" si="81"/>
        <v/>
      </c>
      <c r="F1126" s="18" t="str">
        <f t="shared" si="82"/>
        <v/>
      </c>
      <c r="G1126" s="21" t="str">
        <f t="shared" si="83"/>
        <v/>
      </c>
      <c r="H1126" s="9"/>
    </row>
    <row r="1127" spans="1:8" ht="19.5" customHeight="1">
      <c r="A1127" s="10"/>
      <c r="B1127" s="27"/>
      <c r="C1127" s="34"/>
      <c r="D1127" s="11" t="str">
        <f t="shared" si="80"/>
        <v/>
      </c>
      <c r="E1127" s="12" t="str">
        <f t="shared" si="81"/>
        <v/>
      </c>
      <c r="F1127" s="19" t="str">
        <f t="shared" si="82"/>
        <v/>
      </c>
      <c r="G1127" s="22" t="str">
        <f t="shared" si="83"/>
        <v/>
      </c>
      <c r="H1127" s="13"/>
    </row>
    <row r="1128" spans="1:8" ht="19.5" customHeight="1">
      <c r="A1128" s="6"/>
      <c r="B1128" s="26"/>
      <c r="C1128" s="33"/>
      <c r="D1128" s="7" t="str">
        <f t="shared" si="80"/>
        <v/>
      </c>
      <c r="E1128" s="8" t="str">
        <f t="shared" si="81"/>
        <v/>
      </c>
      <c r="F1128" s="18" t="str">
        <f t="shared" si="82"/>
        <v/>
      </c>
      <c r="G1128" s="21" t="str">
        <f t="shared" si="83"/>
        <v/>
      </c>
      <c r="H1128" s="9"/>
    </row>
    <row r="1129" spans="1:8" ht="19.5" customHeight="1">
      <c r="A1129" s="10"/>
      <c r="B1129" s="27"/>
      <c r="C1129" s="34"/>
      <c r="D1129" s="11" t="str">
        <f t="shared" si="80"/>
        <v/>
      </c>
      <c r="E1129" s="12" t="str">
        <f t="shared" si="81"/>
        <v/>
      </c>
      <c r="F1129" s="19" t="str">
        <f t="shared" si="82"/>
        <v/>
      </c>
      <c r="G1129" s="22" t="str">
        <f t="shared" si="83"/>
        <v/>
      </c>
      <c r="H1129" s="13"/>
    </row>
    <row r="1130" spans="1:8" ht="19.5" customHeight="1">
      <c r="A1130" s="6"/>
      <c r="B1130" s="26"/>
      <c r="C1130" s="33"/>
      <c r="D1130" s="7" t="str">
        <f t="shared" si="80"/>
        <v/>
      </c>
      <c r="E1130" s="8" t="str">
        <f t="shared" si="81"/>
        <v/>
      </c>
      <c r="F1130" s="18" t="str">
        <f t="shared" si="82"/>
        <v/>
      </c>
      <c r="G1130" s="21" t="str">
        <f t="shared" si="83"/>
        <v/>
      </c>
      <c r="H1130" s="9"/>
    </row>
    <row r="1131" spans="1:8" ht="19.5" customHeight="1">
      <c r="A1131" s="10"/>
      <c r="B1131" s="27"/>
      <c r="C1131" s="34"/>
      <c r="D1131" s="11" t="str">
        <f t="shared" si="80"/>
        <v/>
      </c>
      <c r="E1131" s="12" t="str">
        <f t="shared" si="81"/>
        <v/>
      </c>
      <c r="F1131" s="19" t="str">
        <f t="shared" si="82"/>
        <v/>
      </c>
      <c r="G1131" s="22" t="str">
        <f t="shared" si="83"/>
        <v/>
      </c>
      <c r="H1131" s="13"/>
    </row>
    <row r="1132" spans="1:8" ht="19.5" customHeight="1">
      <c r="A1132" s="6"/>
      <c r="B1132" s="26"/>
      <c r="C1132" s="33"/>
      <c r="D1132" s="7" t="str">
        <f t="shared" si="80"/>
        <v/>
      </c>
      <c r="E1132" s="8" t="str">
        <f t="shared" si="81"/>
        <v/>
      </c>
      <c r="F1132" s="18" t="str">
        <f t="shared" si="82"/>
        <v/>
      </c>
      <c r="G1132" s="21" t="str">
        <f t="shared" si="83"/>
        <v/>
      </c>
      <c r="H1132" s="9"/>
    </row>
    <row r="1133" spans="1:8" ht="19.5" customHeight="1">
      <c r="A1133" s="10"/>
      <c r="B1133" s="27"/>
      <c r="C1133" s="34"/>
      <c r="D1133" s="11" t="str">
        <f t="shared" si="80"/>
        <v/>
      </c>
      <c r="E1133" s="12" t="str">
        <f t="shared" si="81"/>
        <v/>
      </c>
      <c r="F1133" s="19" t="str">
        <f t="shared" si="82"/>
        <v/>
      </c>
      <c r="G1133" s="22" t="str">
        <f t="shared" si="83"/>
        <v/>
      </c>
      <c r="H1133" s="13"/>
    </row>
    <row r="1134" spans="1:8" ht="19.5" customHeight="1">
      <c r="A1134" s="6"/>
      <c r="B1134" s="26"/>
      <c r="C1134" s="33"/>
      <c r="D1134" s="7" t="str">
        <f t="shared" si="80"/>
        <v/>
      </c>
      <c r="E1134" s="8" t="str">
        <f t="shared" si="81"/>
        <v/>
      </c>
      <c r="F1134" s="18" t="str">
        <f t="shared" si="82"/>
        <v/>
      </c>
      <c r="G1134" s="21" t="str">
        <f t="shared" si="83"/>
        <v/>
      </c>
      <c r="H1134" s="9"/>
    </row>
    <row r="1135" spans="1:8" ht="19.5" customHeight="1">
      <c r="A1135" s="10"/>
      <c r="B1135" s="27"/>
      <c r="C1135" s="34"/>
      <c r="D1135" s="11" t="str">
        <f t="shared" si="80"/>
        <v/>
      </c>
      <c r="E1135" s="12" t="str">
        <f t="shared" si="81"/>
        <v/>
      </c>
      <c r="F1135" s="19" t="str">
        <f t="shared" si="82"/>
        <v/>
      </c>
      <c r="G1135" s="22" t="str">
        <f t="shared" si="83"/>
        <v/>
      </c>
      <c r="H1135" s="13"/>
    </row>
    <row r="1136" spans="1:8" ht="19.5" customHeight="1">
      <c r="A1136" s="6"/>
      <c r="B1136" s="26"/>
      <c r="C1136" s="33"/>
      <c r="D1136" s="7" t="str">
        <f t="shared" si="80"/>
        <v/>
      </c>
      <c r="E1136" s="8" t="str">
        <f t="shared" si="81"/>
        <v/>
      </c>
      <c r="F1136" s="18" t="str">
        <f t="shared" si="82"/>
        <v/>
      </c>
      <c r="G1136" s="21" t="str">
        <f t="shared" si="83"/>
        <v/>
      </c>
      <c r="H1136" s="9"/>
    </row>
    <row r="1137" spans="1:8" ht="19.5" customHeight="1">
      <c r="A1137" s="10"/>
      <c r="B1137" s="27"/>
      <c r="C1137" s="34"/>
      <c r="D1137" s="11" t="str">
        <f t="shared" si="80"/>
        <v/>
      </c>
      <c r="E1137" s="12" t="str">
        <f t="shared" si="81"/>
        <v/>
      </c>
      <c r="F1137" s="19" t="str">
        <f t="shared" si="82"/>
        <v/>
      </c>
      <c r="G1137" s="22" t="str">
        <f t="shared" si="83"/>
        <v/>
      </c>
      <c r="H1137" s="13"/>
    </row>
    <row r="1138" spans="1:8" ht="19.5" customHeight="1">
      <c r="A1138" s="6"/>
      <c r="B1138" s="26"/>
      <c r="C1138" s="33"/>
      <c r="D1138" s="7" t="str">
        <f t="shared" si="80"/>
        <v/>
      </c>
      <c r="E1138" s="8" t="str">
        <f t="shared" si="81"/>
        <v/>
      </c>
      <c r="F1138" s="18" t="str">
        <f t="shared" si="82"/>
        <v/>
      </c>
      <c r="G1138" s="21" t="str">
        <f t="shared" si="83"/>
        <v/>
      </c>
      <c r="H1138" s="9"/>
    </row>
    <row r="1139" spans="1:8" ht="19.5" customHeight="1">
      <c r="A1139" s="10"/>
      <c r="B1139" s="27"/>
      <c r="C1139" s="34"/>
      <c r="D1139" s="11" t="str">
        <f t="shared" si="80"/>
        <v/>
      </c>
      <c r="E1139" s="12" t="str">
        <f t="shared" si="81"/>
        <v/>
      </c>
      <c r="F1139" s="19" t="str">
        <f t="shared" si="82"/>
        <v/>
      </c>
      <c r="G1139" s="22" t="str">
        <f t="shared" si="83"/>
        <v/>
      </c>
      <c r="H1139" s="13"/>
    </row>
    <row r="1140" spans="1:8" ht="19.5" customHeight="1">
      <c r="A1140" s="6"/>
      <c r="B1140" s="26"/>
      <c r="C1140" s="33"/>
      <c r="D1140" s="7" t="str">
        <f t="shared" si="80"/>
        <v/>
      </c>
      <c r="E1140" s="8" t="str">
        <f t="shared" si="81"/>
        <v/>
      </c>
      <c r="F1140" s="18" t="str">
        <f t="shared" si="82"/>
        <v/>
      </c>
      <c r="G1140" s="21" t="str">
        <f t="shared" si="83"/>
        <v/>
      </c>
      <c r="H1140" s="9"/>
    </row>
    <row r="1141" spans="1:8" ht="19.5" customHeight="1">
      <c r="A1141" s="10"/>
      <c r="B1141" s="27"/>
      <c r="C1141" s="34"/>
      <c r="D1141" s="11" t="str">
        <f t="shared" si="80"/>
        <v/>
      </c>
      <c r="E1141" s="12" t="str">
        <f t="shared" si="81"/>
        <v/>
      </c>
      <c r="F1141" s="19" t="str">
        <f t="shared" si="82"/>
        <v/>
      </c>
      <c r="G1141" s="22" t="str">
        <f t="shared" si="83"/>
        <v/>
      </c>
      <c r="H1141" s="13"/>
    </row>
    <row r="1142" spans="1:8" ht="19.5" customHeight="1">
      <c r="A1142" s="6"/>
      <c r="B1142" s="26"/>
      <c r="C1142" s="33"/>
      <c r="D1142" s="7" t="str">
        <f t="shared" si="80"/>
        <v/>
      </c>
      <c r="E1142" s="8" t="str">
        <f t="shared" si="81"/>
        <v/>
      </c>
      <c r="F1142" s="18" t="str">
        <f t="shared" si="82"/>
        <v/>
      </c>
      <c r="G1142" s="21" t="str">
        <f t="shared" si="83"/>
        <v/>
      </c>
      <c r="H1142" s="9"/>
    </row>
    <row r="1143" spans="1:8" ht="19.5" customHeight="1">
      <c r="A1143" s="10"/>
      <c r="B1143" s="27"/>
      <c r="C1143" s="34"/>
      <c r="D1143" s="11" t="str">
        <f t="shared" si="80"/>
        <v/>
      </c>
      <c r="E1143" s="12" t="str">
        <f t="shared" si="81"/>
        <v/>
      </c>
      <c r="F1143" s="19" t="str">
        <f t="shared" si="82"/>
        <v/>
      </c>
      <c r="G1143" s="22" t="str">
        <f t="shared" si="83"/>
        <v/>
      </c>
      <c r="H1143" s="13"/>
    </row>
    <row r="1144" spans="1:8" ht="19.5" customHeight="1">
      <c r="A1144" s="6"/>
      <c r="B1144" s="26"/>
      <c r="C1144" s="33"/>
      <c r="D1144" s="7" t="str">
        <f t="shared" si="80"/>
        <v/>
      </c>
      <c r="E1144" s="8" t="str">
        <f t="shared" si="81"/>
        <v/>
      </c>
      <c r="F1144" s="18" t="str">
        <f t="shared" si="82"/>
        <v/>
      </c>
      <c r="G1144" s="21" t="str">
        <f t="shared" si="83"/>
        <v/>
      </c>
      <c r="H1144" s="9"/>
    </row>
    <row r="1145" spans="1:8" ht="19.5" customHeight="1">
      <c r="A1145" s="10"/>
      <c r="B1145" s="27"/>
      <c r="C1145" s="34"/>
      <c r="D1145" s="11" t="str">
        <f t="shared" si="80"/>
        <v/>
      </c>
      <c r="E1145" s="12" t="str">
        <f t="shared" si="81"/>
        <v/>
      </c>
      <c r="F1145" s="19" t="str">
        <f t="shared" si="82"/>
        <v/>
      </c>
      <c r="G1145" s="22" t="str">
        <f t="shared" si="83"/>
        <v/>
      </c>
      <c r="H1145" s="13"/>
    </row>
    <row r="1146" spans="1:8" ht="19.5" customHeight="1">
      <c r="A1146" s="6"/>
      <c r="B1146" s="26"/>
      <c r="C1146" s="33"/>
      <c r="D1146" s="7" t="str">
        <f t="shared" si="80"/>
        <v/>
      </c>
      <c r="E1146" s="8" t="str">
        <f t="shared" si="81"/>
        <v/>
      </c>
      <c r="F1146" s="18" t="str">
        <f t="shared" si="82"/>
        <v/>
      </c>
      <c r="G1146" s="21" t="str">
        <f t="shared" si="83"/>
        <v/>
      </c>
      <c r="H1146" s="9"/>
    </row>
    <row r="1147" spans="1:8" ht="19.5" customHeight="1">
      <c r="A1147" s="10"/>
      <c r="B1147" s="27"/>
      <c r="C1147" s="34"/>
      <c r="D1147" s="11" t="str">
        <f t="shared" si="80"/>
        <v/>
      </c>
      <c r="E1147" s="12" t="str">
        <f t="shared" si="81"/>
        <v/>
      </c>
      <c r="F1147" s="19" t="str">
        <f t="shared" si="82"/>
        <v/>
      </c>
      <c r="G1147" s="22" t="str">
        <f t="shared" si="83"/>
        <v/>
      </c>
      <c r="H1147" s="13"/>
    </row>
    <row r="1148" spans="1:8">
      <c r="B1148" s="28"/>
      <c r="C1148" s="35"/>
      <c r="F1148" s="20"/>
      <c r="G1148" s="23"/>
    </row>
    <row r="1149" spans="1:8" ht="24" customHeight="1">
      <c r="A1149" s="14" t="s">
        <v>317</v>
      </c>
      <c r="B1149" s="29"/>
      <c r="C1149" s="35"/>
      <c r="F1149" s="20"/>
      <c r="G1149" s="23"/>
    </row>
    <row r="1150" spans="1:8" ht="24" customHeight="1">
      <c r="A1150" s="14" t="s">
        <v>318</v>
      </c>
      <c r="B1150" s="30">
        <f>COUNTA(A3:A1147)</f>
        <v>224</v>
      </c>
      <c r="C1150" s="35"/>
      <c r="F1150" s="20"/>
      <c r="G1150" s="23"/>
    </row>
    <row r="1151" spans="1:8" ht="24" customHeight="1">
      <c r="A1151" s="14" t="s">
        <v>319</v>
      </c>
      <c r="B1151" s="31">
        <f>SUMIF(B3:B1147,"&lt;&gt;",$B$3:$B$1147)</f>
        <v>1052.8799999999992</v>
      </c>
      <c r="C1151" s="35"/>
      <c r="F1151" s="20"/>
      <c r="G1151" s="23"/>
    </row>
    <row r="1152" spans="1:8" ht="24" customHeight="1">
      <c r="A1152" s="14" t="s">
        <v>320</v>
      </c>
      <c r="B1152" s="31">
        <f>SUMIF(C3:C1147,"&lt;&gt;",$C$3:$C$1147)</f>
        <v>2010.71</v>
      </c>
      <c r="C1152" s="35"/>
      <c r="F1152" s="20"/>
      <c r="G1152" s="23"/>
    </row>
    <row r="1153" spans="1:8" ht="24" customHeight="1">
      <c r="A1153" s="14" t="s">
        <v>321</v>
      </c>
      <c r="B1153" s="31">
        <f>SUMIF(D3:D1147,"&lt;&gt;",$D$3:$D$1147)</f>
        <v>40.214199999999984</v>
      </c>
      <c r="C1153" s="35"/>
      <c r="F1153" s="20"/>
      <c r="G1153" s="23"/>
    </row>
    <row r="1154" spans="1:8" ht="24" customHeight="1">
      <c r="A1154" s="14" t="s">
        <v>322</v>
      </c>
      <c r="B1154" s="31">
        <f>SUMIF(E3:E1147,"&lt;&gt;",$E$3:$E$1147)</f>
        <v>1970.4957999999999</v>
      </c>
      <c r="C1154" s="35"/>
      <c r="F1154" s="20"/>
      <c r="G1154" s="23"/>
    </row>
    <row r="1155" spans="1:8" ht="24" customHeight="1">
      <c r="A1155" s="14" t="s">
        <v>323</v>
      </c>
      <c r="B1155" s="31">
        <f>SUMIF(F3:F1147,"&lt;&gt;",$F$3:$F$1147)</f>
        <v>917.61579999999992</v>
      </c>
      <c r="C1155" s="35"/>
      <c r="F1155" s="20"/>
      <c r="G1155" s="23"/>
    </row>
    <row r="1156" spans="1:8" ht="24" customHeight="1">
      <c r="A1156" s="14" t="s">
        <v>324</v>
      </c>
      <c r="B1156" s="32">
        <f>IF(SUMIF(B3:B1147,"&lt;&gt;")=0,"",SUMIF(F3:F1147,"&lt;&gt;")/SUMIF(B3:B1147,"&lt;&gt;"))</f>
        <v>0.87152932907833813</v>
      </c>
      <c r="C1156" s="35"/>
      <c r="F1156" s="20"/>
      <c r="G1156" s="23"/>
    </row>
    <row r="1157" spans="1:8">
      <c r="B1157" s="28"/>
      <c r="C1157" s="35"/>
      <c r="F1157" s="20"/>
      <c r="G1157" s="23"/>
    </row>
    <row r="1158" spans="1:8" ht="19.5" customHeight="1">
      <c r="A1158" s="41" t="s">
        <v>325</v>
      </c>
      <c r="B1158" s="42"/>
      <c r="C1158" s="41"/>
      <c r="D1158" s="41"/>
      <c r="E1158" s="41"/>
      <c r="F1158" s="43"/>
      <c r="G1158" s="44"/>
      <c r="H1158" s="41"/>
    </row>
    <row r="1159" spans="1:8" ht="19.5" customHeight="1">
      <c r="A1159" s="36" t="s">
        <v>326</v>
      </c>
      <c r="B1159" s="37"/>
      <c r="C1159" s="38"/>
      <c r="D1159" s="36"/>
      <c r="E1159" s="36"/>
      <c r="F1159" s="39"/>
      <c r="G1159" s="40"/>
      <c r="H1159" s="36"/>
    </row>
    <row r="1160" spans="1:8" ht="19.5" customHeight="1">
      <c r="A1160" s="36" t="s">
        <v>327</v>
      </c>
      <c r="B1160" s="37"/>
      <c r="C1160" s="38"/>
      <c r="D1160" s="36"/>
      <c r="E1160" s="36"/>
      <c r="F1160" s="39"/>
      <c r="G1160" s="40"/>
      <c r="H1160" s="36"/>
    </row>
    <row r="1161" spans="1:8" ht="19.5" customHeight="1">
      <c r="A1161" s="36" t="s">
        <v>328</v>
      </c>
      <c r="B1161" s="37"/>
      <c r="C1161" s="38"/>
      <c r="D1161" s="36"/>
      <c r="E1161" s="36"/>
      <c r="F1161" s="39"/>
      <c r="G1161" s="40"/>
      <c r="H1161" s="36"/>
    </row>
    <row r="1162" spans="1:8" ht="19.5" customHeight="1">
      <c r="A1162" s="36" t="s">
        <v>329</v>
      </c>
      <c r="B1162" s="37"/>
      <c r="C1162" s="38"/>
      <c r="D1162" s="36"/>
      <c r="E1162" s="36"/>
      <c r="F1162" s="39"/>
      <c r="G1162" s="40"/>
      <c r="H1162" s="36"/>
    </row>
    <row r="1163" spans="1:8" ht="19.5" customHeight="1">
      <c r="A1163" s="36" t="s">
        <v>330</v>
      </c>
      <c r="B1163" s="37"/>
      <c r="C1163" s="38"/>
      <c r="D1163" s="36"/>
      <c r="E1163" s="36"/>
      <c r="F1163" s="39"/>
      <c r="G1163" s="40"/>
      <c r="H1163" s="36"/>
    </row>
  </sheetData>
  <mergeCells count="6">
    <mergeCell ref="A1163:H1163"/>
    <mergeCell ref="A1158:H1158"/>
    <mergeCell ref="A1159:H1159"/>
    <mergeCell ref="A1160:H1160"/>
    <mergeCell ref="A1161:H1161"/>
    <mergeCell ref="A1162:H1162"/>
  </mergeCells>
  <hyperlinks>
    <hyperlink ref="M146" r:id="rId1" xr:uid="{A5122DB3-4894-4DAD-9AB6-47AF7B89E420}"/>
    <hyperlink ref="R146" r:id="rId2" xr:uid="{1703D605-E982-4E4D-9BC5-1FFE4E44658F}"/>
    <hyperlink ref="H145" r:id="rId3" xr:uid="{74275BF0-D4E7-4943-B307-EFCD029DD04C}"/>
    <hyperlink ref="H147" r:id="rId4" xr:uid="{E0ADD164-61D7-4CF1-AA79-C346EB405251}"/>
    <hyperlink ref="H148" r:id="rId5" xr:uid="{A62C7212-5943-419C-9109-C1DFB88EB02B}"/>
    <hyperlink ref="H149" r:id="rId6" xr:uid="{8925DC44-1174-48C4-94F1-004B0996FE42}"/>
    <hyperlink ref="H150" r:id="rId7" xr:uid="{FEE3376A-588F-4E74-8447-95FC8CA30800}"/>
    <hyperlink ref="H151" r:id="rId8" xr:uid="{DFD2DB71-5465-40DA-ADCC-8E929584036A}"/>
    <hyperlink ref="H152" r:id="rId9" xr:uid="{830B68B5-B629-47EB-B0C5-9D10D68F42CC}"/>
    <hyperlink ref="H153" r:id="rId10" xr:uid="{08A003C8-3D2A-4CA5-8BD3-A9DE759AD5E5}"/>
    <hyperlink ref="H154" r:id="rId11" xr:uid="{A0F3E8D4-263F-4004-B234-7388593DBFA0}"/>
    <hyperlink ref="H155" r:id="rId12" xr:uid="{A5045A53-2325-41E1-96AC-777267C561A7}"/>
    <hyperlink ref="H156" r:id="rId13" xr:uid="{FAB42B07-60A7-47A1-962A-D80E3929D5E9}"/>
    <hyperlink ref="H157" r:id="rId14" xr:uid="{A0A1A6E4-871B-4228-B161-DA147D1D0AE1}"/>
    <hyperlink ref="H158" r:id="rId15" xr:uid="{B77D1F41-8C0C-487D-BB85-7170A1F6FEBB}"/>
    <hyperlink ref="H159" r:id="rId16" xr:uid="{B713F80C-3E05-4160-BDC3-5CD851A2B6E9}"/>
    <hyperlink ref="H160" r:id="rId17" xr:uid="{EB597558-909B-4461-B59A-B4FE78953C75}"/>
    <hyperlink ref="H161" r:id="rId18" xr:uid="{CD38BE63-2821-4B8D-B6D1-2B15D89AF4DA}"/>
    <hyperlink ref="H162" r:id="rId19" xr:uid="{75C41F63-EF20-46B8-AD77-1CE03540F106}"/>
    <hyperlink ref="H164" r:id="rId20" xr:uid="{D3D36431-5DC4-4E97-A997-ED80D1EA5C49}"/>
    <hyperlink ref="H163" r:id="rId21" xr:uid="{23429DD5-6FC3-40B2-A761-DDC2127595AA}"/>
    <hyperlink ref="H165" r:id="rId22" xr:uid="{302E9140-0D3C-4C07-BFC6-8FE08DA41A16}"/>
    <hyperlink ref="L165" r:id="rId23" xr:uid="{98501304-891D-4801-996F-275894E391D2}"/>
    <hyperlink ref="H166" r:id="rId24" xr:uid="{FEB7FF68-AA74-4C0D-8D93-4CA0C60E6601}"/>
    <hyperlink ref="Q165" r:id="rId25" xr:uid="{B7B5794A-08FF-4BAF-A396-36F8F5CC65AF}"/>
    <hyperlink ref="H167" r:id="rId26" xr:uid="{41470350-2B55-4957-A426-C706FB2AEFD9}"/>
    <hyperlink ref="H168" r:id="rId27" xr:uid="{08A7047F-A13E-43E0-8E93-8EB151FCA1B4}"/>
    <hyperlink ref="H169" r:id="rId28" xr:uid="{3D2A2FB2-42DD-4E07-8708-9B831B4FAAC3}"/>
    <hyperlink ref="H170" r:id="rId29" xr:uid="{EB4FA439-F26B-4E1B-B15A-EDA30D966BA3}"/>
    <hyperlink ref="H171" r:id="rId30" xr:uid="{CA89AC98-A40B-4C62-AC63-A5AC2195AAAC}"/>
    <hyperlink ref="H172" r:id="rId31" xr:uid="{D1E8122E-AA8C-4D9D-B14B-F12A8357FECC}"/>
    <hyperlink ref="H173" r:id="rId32" xr:uid="{E7E8B46E-4A4D-4D61-9140-30F4A3D2C2F7}"/>
    <hyperlink ref="H174" r:id="rId33" xr:uid="{C165FF8B-1D6A-49B6-AD81-8C304EDB47D7}"/>
    <hyperlink ref="H175" r:id="rId34" xr:uid="{E8A02052-4C3D-4D50-8969-085CA81B0111}"/>
    <hyperlink ref="H176" r:id="rId35" xr:uid="{44DF08B9-479F-41D5-AB37-9F92B9C82771}"/>
    <hyperlink ref="H177" r:id="rId36" xr:uid="{1D49BF52-A058-4DE5-8ADA-FA4B97F0B2A4}"/>
    <hyperlink ref="H178" r:id="rId37" xr:uid="{5524D07B-1AF0-4372-9E42-3FBB038F50C0}"/>
    <hyperlink ref="H179" r:id="rId38" xr:uid="{DECDAACF-7C68-4B0E-BAE9-DF7029705E32}"/>
    <hyperlink ref="H180" r:id="rId39" xr:uid="{D98E532D-4E3D-4BA2-9CB9-6A658383BC46}"/>
    <hyperlink ref="H181" r:id="rId40" xr:uid="{00CAB71F-B24D-4435-BACE-DE0DE19A5D72}"/>
    <hyperlink ref="H182" r:id="rId41" xr:uid="{CA6D902F-CD9E-4F03-8B19-2EA59BFA7FB6}"/>
    <hyperlink ref="H183" r:id="rId42" xr:uid="{7747CEF0-AE85-48FA-BB5A-76705E08899B}"/>
    <hyperlink ref="H184" r:id="rId43" xr:uid="{022100BB-B80F-4C51-BBA4-AC5183F321D4}"/>
    <hyperlink ref="H185" r:id="rId44" xr:uid="{BB9C1AE0-CE2C-480D-AD87-D1BD904ABF04}"/>
    <hyperlink ref="H186" r:id="rId45" xr:uid="{8DBAEB32-B155-4F02-803F-BE60E52D6061}"/>
    <hyperlink ref="L186" r:id="rId46" xr:uid="{E1FAF1C7-3F0F-4D81-9100-EEF14E9F9AEE}"/>
    <hyperlink ref="Q186" r:id="rId47" xr:uid="{D2412F6F-855E-432F-9A7C-38908C663372}"/>
    <hyperlink ref="V186" r:id="rId48" xr:uid="{05851A75-A307-4486-9A5B-D7942DEA9CAD}"/>
    <hyperlink ref="AA186" r:id="rId49" xr:uid="{14E09E1B-6884-4AB6-A6D4-B1F684E3A9C4}"/>
    <hyperlink ref="AE186" r:id="rId50" xr:uid="{308E5050-985C-4B4A-86C7-1AEC919BD9A6}"/>
    <hyperlink ref="AJ186" r:id="rId51" xr:uid="{F659B220-EE67-49F2-BBE3-9478FCEFCAE0}"/>
    <hyperlink ref="H187" r:id="rId52" xr:uid="{C75789C0-4F61-4FF0-9527-3E256F02C05E}"/>
    <hyperlink ref="H188" r:id="rId53" xr:uid="{512036A5-43C8-4538-BE35-3F498554F634}"/>
    <hyperlink ref="H189" r:id="rId54" xr:uid="{BD2E5D4E-7617-4D52-BC23-33664D0A4EF3}"/>
    <hyperlink ref="H191" r:id="rId55" xr:uid="{09383A10-2CFA-4BCA-BD7B-84F313EF5AEC}"/>
    <hyperlink ref="H190" r:id="rId56" xr:uid="{F12C68DF-0521-4713-A760-873595CCC5A0}"/>
    <hyperlink ref="H192" r:id="rId57" xr:uid="{1BBFF52D-DBC4-4A60-B6AD-ACC398179026}"/>
    <hyperlink ref="H193" r:id="rId58" xr:uid="{F24A3409-DE45-4E9F-BEA2-B5F9DCB792D7}"/>
    <hyperlink ref="H194" r:id="rId59" xr:uid="{0838338A-05DD-4DE0-8283-51B1EA37A339}"/>
    <hyperlink ref="H195" r:id="rId60" xr:uid="{73499120-DC3E-45C6-996E-FB1B4B354E31}"/>
    <hyperlink ref="H196" r:id="rId61" xr:uid="{DE14DE2D-FE30-4C1E-BE80-1E848CF09FA6}"/>
    <hyperlink ref="H197" r:id="rId62" xr:uid="{07C7CF1B-5435-457D-AA2A-E2DA93AC44FF}"/>
    <hyperlink ref="H198" r:id="rId63" xr:uid="{BD89F55C-60B8-4628-BC4A-490C5706BCD6}"/>
    <hyperlink ref="H199" r:id="rId64" xr:uid="{EC15496D-2925-4759-BADA-1FCB6E6BDA1D}"/>
    <hyperlink ref="H200" r:id="rId65" xr:uid="{ED3D9440-317C-4941-9EF5-5051991DC7A2}"/>
    <hyperlink ref="H201" r:id="rId66" xr:uid="{111AFC6A-45E5-4DD9-98F5-DD724520C8E1}"/>
    <hyperlink ref="H202" r:id="rId67" xr:uid="{DB59F553-C309-4ACB-AC63-8FD3DE40078B}"/>
    <hyperlink ref="H203" r:id="rId68" xr:uid="{95658688-50F8-4A82-BA31-C820BC47A1C1}"/>
    <hyperlink ref="H204" r:id="rId69" xr:uid="{4CEB82D1-F083-42BC-A23F-A0EF5366914D}"/>
    <hyperlink ref="H205" r:id="rId70" xr:uid="{7B6CC03B-3F62-4223-B3EF-37599DCEBD4F}"/>
    <hyperlink ref="H206" r:id="rId71" xr:uid="{935A6C09-216F-43EB-9F08-8BBC735498FE}"/>
    <hyperlink ref="H207" r:id="rId72" xr:uid="{063E5D5F-297F-4AB7-BC54-E92548C296DE}"/>
    <hyperlink ref="H208" r:id="rId73" xr:uid="{51C2AE30-4B1E-48EE-ACF6-F7537C1B0E95}"/>
    <hyperlink ref="H209" r:id="rId74" xr:uid="{86020346-7C6E-4CB8-A505-4F5C9F84FC2E}"/>
    <hyperlink ref="H146" r:id="rId75" xr:uid="{1DFC7D6D-071E-4F84-A2D5-8D2830B4711B}"/>
    <hyperlink ref="H210" r:id="rId76" xr:uid="{589C7667-55CE-49A4-81D4-16C61CC23F31}"/>
    <hyperlink ref="H211" r:id="rId77" xr:uid="{086C0636-97D9-4742-838B-F472CA8A786B}"/>
    <hyperlink ref="H212" r:id="rId78" xr:uid="{47C9DB20-CE5E-480E-A3D6-FA3BD02A05F8}"/>
    <hyperlink ref="H213" r:id="rId79" xr:uid="{686A28C9-5CC9-4E32-9365-2CBE4E66B6FB}"/>
    <hyperlink ref="H214" r:id="rId80" xr:uid="{B0E94ABC-897B-454A-94D4-3AC5A570DDFA}"/>
    <hyperlink ref="H215" r:id="rId81" xr:uid="{087BE683-4CBD-4DCC-AADD-08B983996AA9}"/>
    <hyperlink ref="H216" r:id="rId82" xr:uid="{AB19179A-DAA9-4A61-84FD-0BC072F1F400}"/>
    <hyperlink ref="H217" r:id="rId83" xr:uid="{591C2679-348E-4FBD-A8D7-EEA6B53E19E3}"/>
    <hyperlink ref="H218" r:id="rId84" xr:uid="{10D1AA1A-04A8-4EA1-AC90-F8F2C215058A}"/>
    <hyperlink ref="H219" r:id="rId85" xr:uid="{BEEED85E-8987-4780-B643-7E7DAAD41B43}"/>
    <hyperlink ref="H220" r:id="rId86" xr:uid="{0625F2AF-B698-4F51-9A93-2CA1EA8D0491}"/>
    <hyperlink ref="H221" r:id="rId87" xr:uid="{930D30BD-E07E-4AF6-BC90-F234FA6DCB37}"/>
    <hyperlink ref="H222" r:id="rId88" xr:uid="{A248B2F0-1A72-4D22-9889-7B2912A64C13}"/>
    <hyperlink ref="H223" r:id="rId89" xr:uid="{F725F2CD-9089-4835-BC81-75AF06E6E88F}"/>
    <hyperlink ref="H224" r:id="rId90" xr:uid="{04D40E5F-B559-4ACC-872E-6F142566A25A}"/>
    <hyperlink ref="H225" r:id="rId91" xr:uid="{D14A90DB-CC14-4FCA-93C2-B5F5C1F54EA0}"/>
    <hyperlink ref="H226" r:id="rId92" xr:uid="{19919707-BF92-4F9B-8EC3-DB86F713C642}"/>
  </hyperlinks>
  <pageMargins left="0.75" right="0.75" top="1" bottom="1" header="0.511811023622047" footer="0.511811023622047"/>
  <pageSetup paperSize="9" orientation="portrait" horizontalDpi="300" verticalDpi="300"/>
  <legacyDrawing r:id="rId9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2026-03-25T17:16:52Z</dcterms:created>
  <dcterms:modified xsi:type="dcterms:W3CDTF">2026-04-21T12:26:10Z</dcterms:modified>
  <cp:category/>
  <cp:contentStatus/>
</cp:coreProperties>
</file>